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"/>
    </mc:Choice>
  </mc:AlternateContent>
  <xr:revisionPtr revIDLastSave="283" documentId="8_{AD17BB0A-A47C-4082-989F-B7BC952DCC3B}" xr6:coauthVersionLast="47" xr6:coauthVersionMax="47" xr10:uidLastSave="{8B9B1C5E-0128-43EF-B8BC-7E04FB9081AE}"/>
  <bookViews>
    <workbookView xWindow="-120" yWindow="-120" windowWidth="29040" windowHeight="15720" activeTab="6" xr2:uid="{87D6FB3C-C3C2-408B-8829-1A6E36F4B7F1}"/>
  </bookViews>
  <sheets>
    <sheet name="Michael Jordan" sheetId="2" r:id="rId1"/>
    <sheet name="Lebron James" sheetId="1" r:id="rId2"/>
    <sheet name="Combined player data" sheetId="4" r:id="rId3"/>
    <sheet name="Career Avg" sheetId="5" r:id="rId4"/>
    <sheet name="League Rule Changes" sheetId="3" r:id="rId5"/>
    <sheet name="Space Jam " sheetId="6" r:id="rId6"/>
    <sheet name="League Impact" sheetId="7" r:id="rId7"/>
  </sheets>
  <definedNames>
    <definedName name="_xlnm._FilterDatabase" localSheetId="1" hidden="1">'Lebron James'!$A$1:$AF$1</definedName>
    <definedName name="_xlnm._FilterDatabase" localSheetId="0" hidden="1">'Michael Jordan'!$A$1:$AD$1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F4" i="7"/>
  <c r="F5" i="7"/>
  <c r="F2" i="7"/>
  <c r="E3" i="7"/>
  <c r="E4" i="7"/>
  <c r="E5" i="7"/>
  <c r="E2" i="7"/>
  <c r="AO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" i="4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" i="4"/>
  <c r="AL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" i="4"/>
  <c r="AK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" i="4"/>
</calcChain>
</file>

<file path=xl/sharedStrings.xml><?xml version="1.0" encoding="utf-8"?>
<sst xmlns="http://schemas.openxmlformats.org/spreadsheetml/2006/main" count="343" uniqueCount="102">
  <si>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</si>
  <si>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</si>
  <si>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</si>
  <si>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</si>
  <si>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</si>
  <si>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</si>
  <si>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</si>
  <si>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</si>
  <si>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</si>
  <si>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</si>
  <si>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</si>
  <si>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</si>
  <si>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</si>
  <si>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</si>
  <si>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</si>
  <si>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</si>
  <si>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</si>
  <si>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</si>
  <si>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</si>
  <si>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</si>
  <si>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</si>
  <si>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</si>
  <si>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</si>
  <si>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</si>
  <si>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</si>
  <si>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</si>
  <si>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</si>
  <si>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</si>
  <si>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</si>
  <si>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</si>
  <si>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2003-04</t>
  </si>
  <si>
    <t>CLE</t>
  </si>
  <si>
    <t>NBA</t>
  </si>
  <si>
    <t>SG</t>
  </si>
  <si>
    <t>2004-05</t>
  </si>
  <si>
    <t>SF</t>
  </si>
  <si>
    <t>2005-06</t>
  </si>
  <si>
    <t>2006-07</t>
  </si>
  <si>
    <t>2007-08</t>
  </si>
  <si>
    <t>2008-09</t>
  </si>
  <si>
    <t>2009-10</t>
  </si>
  <si>
    <t>2010-11</t>
  </si>
  <si>
    <t>MIA</t>
  </si>
  <si>
    <t>2011-12</t>
  </si>
  <si>
    <t>2012-13</t>
  </si>
  <si>
    <t>2013-14</t>
  </si>
  <si>
    <t>CHI</t>
  </si>
  <si>
    <t>1997-98</t>
  </si>
  <si>
    <t>1996-97</t>
  </si>
  <si>
    <t>1995-96</t>
  </si>
  <si>
    <t>1992-93</t>
  </si>
  <si>
    <t>1991-92</t>
  </si>
  <si>
    <t>1990-91</t>
  </si>
  <si>
    <t>1989-90</t>
  </si>
  <si>
    <t>1988-89</t>
  </si>
  <si>
    <t>1987-88</t>
  </si>
  <si>
    <t>1986-87</t>
  </si>
  <si>
    <t>1984-85</t>
  </si>
  <si>
    <t>League Total Points</t>
  </si>
  <si>
    <t>League Total Blocks</t>
  </si>
  <si>
    <t>League Total Assists</t>
  </si>
  <si>
    <t>League Total Steals</t>
  </si>
  <si>
    <t>League Total Rebounds</t>
  </si>
  <si>
    <t>Player</t>
  </si>
  <si>
    <t>Michael Jordan</t>
  </si>
  <si>
    <t>Lebron James</t>
  </si>
  <si>
    <t>Player % Points</t>
  </si>
  <si>
    <t>Player % Blocks</t>
  </si>
  <si>
    <t>Player % Assists</t>
  </si>
  <si>
    <t>Player % Steals</t>
  </si>
  <si>
    <t>Player % Rebounds</t>
  </si>
  <si>
    <t xml:space="preserve">Jordan </t>
  </si>
  <si>
    <t xml:space="preserve">Player </t>
  </si>
  <si>
    <t>Avg PTS%</t>
  </si>
  <si>
    <t>Avg AST%</t>
  </si>
  <si>
    <t>Avg STL%</t>
  </si>
  <si>
    <t>Avg BLK%</t>
  </si>
  <si>
    <t>Avg RBD%</t>
  </si>
  <si>
    <t>Jordan</t>
  </si>
  <si>
    <t>Lebron</t>
  </si>
  <si>
    <t>Avg All</t>
  </si>
  <si>
    <t>ERA</t>
  </si>
  <si>
    <t>PPG</t>
  </si>
  <si>
    <t>3 PT Attempts per game</t>
  </si>
  <si>
    <t>Movie</t>
  </si>
  <si>
    <t>Box Office Revenue</t>
  </si>
  <si>
    <t>Rotten Tomatoes Score</t>
  </si>
  <si>
    <t>LeBron</t>
  </si>
  <si>
    <t xml:space="preserve">Space Jam </t>
  </si>
  <si>
    <t>Space Jam: A New Legacy</t>
  </si>
  <si>
    <t>250.2 M</t>
  </si>
  <si>
    <t>163.7M</t>
  </si>
  <si>
    <t>TV Ratings</t>
  </si>
  <si>
    <t>Game Attendance</t>
  </si>
  <si>
    <t>Merchandise Sales</t>
  </si>
  <si>
    <t>Pre Jordan</t>
  </si>
  <si>
    <t xml:space="preserve">League Revenue </t>
  </si>
  <si>
    <t>Jordan ERA</t>
  </si>
  <si>
    <t>Post Jordan</t>
  </si>
  <si>
    <t>Category</t>
  </si>
  <si>
    <t>Percent Change Jordan</t>
  </si>
  <si>
    <t>Percent Change After 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</si>
</sst>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4EF0-E7AB-4A18-9DDF-E488D7D68A49}">
  <dimension ref="A1:AI17"/>
  <sheetViews>
    <sheetView workbookViewId="0">
      <selection activeCell="AE2" sqref="AE2:AE12"/>
    </sheetView>
  </sheetViews>
  <sheetFormatPr defaultRowHeight="15" x14ac:dyDescent="0.25"/>
  <cols>
    <col min="1" max="1" width="7.7109375" bestFit="1" customWidth="1"/>
    <col min="2" max="2" width="4.28515625" bestFit="1" customWidth="1"/>
    <col min="3" max="3" width="5.85546875" bestFit="1" customWidth="1"/>
    <col min="4" max="4" width="4.7109375" bestFit="1" customWidth="1"/>
    <col min="5" max="5" width="4.28515625" bestFit="1" customWidth="1"/>
    <col min="6" max="6" width="5" bestFit="1" customWidth="1"/>
    <col min="7" max="7" width="8.140625" bestFit="1" customWidth="1"/>
    <col min="8" max="11" width="6" bestFit="1" customWidth="1"/>
    <col min="12" max="12" width="4" bestFit="1" customWidth="1"/>
    <col min="13" max="13" width="5" bestFit="1" customWidth="1"/>
    <col min="14" max="17" width="6" bestFit="1" customWidth="1"/>
    <col min="18" max="18" width="6.140625" bestFit="1" customWidth="1"/>
    <col min="19" max="20" width="5" bestFit="1" customWidth="1"/>
    <col min="21" max="21" width="6" bestFit="1" customWidth="1"/>
    <col min="22" max="26" width="5" bestFit="1" customWidth="1"/>
    <col min="27" max="27" width="4.28515625" bestFit="1" customWidth="1"/>
    <col min="28" max="29" width="5" bestFit="1" customWidth="1"/>
    <col min="30" max="30" width="6" bestFit="1" customWidth="1"/>
  </cols>
  <sheetData>
    <row r="1" spans="1:3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</row>
    <row r="2" spans="1:35" x14ac:dyDescent="0.25">
      <c r="A2" s="1" t="s">
        <v>57</v>
      </c>
      <c r="B2" s="2">
        <v>21</v>
      </c>
      <c r="C2" s="2" t="s">
        <v>46</v>
      </c>
      <c r="D2" s="2" t="s">
        <v>32</v>
      </c>
      <c r="E2" s="2" t="s">
        <v>33</v>
      </c>
      <c r="F2" s="2">
        <v>82</v>
      </c>
      <c r="G2" s="2">
        <v>82</v>
      </c>
      <c r="H2" s="2">
        <v>3144</v>
      </c>
      <c r="I2" s="2">
        <v>837</v>
      </c>
      <c r="J2" s="2">
        <v>1625</v>
      </c>
      <c r="K2" s="2">
        <v>0.51500000000000001</v>
      </c>
      <c r="L2" s="2">
        <v>9</v>
      </c>
      <c r="M2" s="2">
        <v>52</v>
      </c>
      <c r="N2" s="2">
        <v>0.17299999999999999</v>
      </c>
      <c r="O2" s="2">
        <v>828</v>
      </c>
      <c r="P2" s="2">
        <v>1573</v>
      </c>
      <c r="Q2" s="2">
        <v>0.52600000000000002</v>
      </c>
      <c r="R2" s="2">
        <v>0.51800000000000002</v>
      </c>
      <c r="S2" s="2">
        <v>630</v>
      </c>
      <c r="T2" s="2">
        <v>746</v>
      </c>
      <c r="U2" s="2">
        <v>0.84499999999999997</v>
      </c>
      <c r="V2" s="2">
        <v>167</v>
      </c>
      <c r="W2" s="2">
        <v>367</v>
      </c>
      <c r="X2" s="2">
        <v>534</v>
      </c>
      <c r="Y2" s="2">
        <v>481</v>
      </c>
      <c r="Z2" s="2">
        <v>196</v>
      </c>
      <c r="AA2" s="2">
        <v>69</v>
      </c>
      <c r="AB2" s="2">
        <v>291</v>
      </c>
      <c r="AC2" s="2">
        <v>285</v>
      </c>
      <c r="AD2" s="2">
        <v>2313</v>
      </c>
      <c r="AE2" s="2">
        <v>209041</v>
      </c>
      <c r="AF2" s="2">
        <v>10019</v>
      </c>
      <c r="AG2" s="2">
        <v>49515</v>
      </c>
      <c r="AH2" s="2">
        <v>16122</v>
      </c>
      <c r="AI2" s="2">
        <v>82008</v>
      </c>
    </row>
    <row r="3" spans="1:35" x14ac:dyDescent="0.25">
      <c r="A3" s="1" t="s">
        <v>56</v>
      </c>
      <c r="B3" s="2">
        <v>23</v>
      </c>
      <c r="C3" s="2" t="s">
        <v>46</v>
      </c>
      <c r="D3" s="2" t="s">
        <v>32</v>
      </c>
      <c r="E3" s="2" t="s">
        <v>33</v>
      </c>
      <c r="F3" s="2">
        <v>82</v>
      </c>
      <c r="G3" s="2">
        <v>82</v>
      </c>
      <c r="H3" s="2">
        <v>3281</v>
      </c>
      <c r="I3" s="2">
        <v>1098</v>
      </c>
      <c r="J3" s="2">
        <v>2279</v>
      </c>
      <c r="K3" s="2">
        <v>0.48199999999999998</v>
      </c>
      <c r="L3" s="2">
        <v>12</v>
      </c>
      <c r="M3" s="2">
        <v>66</v>
      </c>
      <c r="N3" s="2">
        <v>0.182</v>
      </c>
      <c r="O3" s="2">
        <v>1086</v>
      </c>
      <c r="P3" s="2">
        <v>2213</v>
      </c>
      <c r="Q3" s="2">
        <v>0.49099999999999999</v>
      </c>
      <c r="R3" s="2">
        <v>0.48399999999999999</v>
      </c>
      <c r="S3" s="2">
        <v>833</v>
      </c>
      <c r="T3" s="2">
        <v>972</v>
      </c>
      <c r="U3" s="2">
        <v>0.85699999999999998</v>
      </c>
      <c r="V3" s="2">
        <v>166</v>
      </c>
      <c r="W3" s="2">
        <v>264</v>
      </c>
      <c r="X3" s="2">
        <v>430</v>
      </c>
      <c r="Y3" s="2">
        <v>377</v>
      </c>
      <c r="Z3" s="2">
        <v>236</v>
      </c>
      <c r="AA3" s="2">
        <v>125</v>
      </c>
      <c r="AB3" s="2">
        <v>272</v>
      </c>
      <c r="AC3" s="2">
        <v>237</v>
      </c>
      <c r="AD3" s="2">
        <v>3041</v>
      </c>
      <c r="AE3" s="2">
        <v>207338</v>
      </c>
      <c r="AF3" s="2">
        <v>10411</v>
      </c>
      <c r="AG3" s="2">
        <v>48998</v>
      </c>
      <c r="AH3" s="2">
        <v>16264</v>
      </c>
      <c r="AI3" s="2">
        <v>83020</v>
      </c>
    </row>
    <row r="4" spans="1:35" x14ac:dyDescent="0.25">
      <c r="A4" s="1" t="s">
        <v>55</v>
      </c>
      <c r="B4" s="2">
        <v>24</v>
      </c>
      <c r="C4" s="2" t="s">
        <v>46</v>
      </c>
      <c r="D4" s="2" t="s">
        <v>32</v>
      </c>
      <c r="E4" s="2" t="s">
        <v>33</v>
      </c>
      <c r="F4" s="2">
        <v>82</v>
      </c>
      <c r="G4" s="2">
        <v>82</v>
      </c>
      <c r="H4" s="2">
        <v>3311</v>
      </c>
      <c r="I4" s="2">
        <v>1069</v>
      </c>
      <c r="J4" s="2">
        <v>1998</v>
      </c>
      <c r="K4" s="2">
        <v>0.53500000000000003</v>
      </c>
      <c r="L4" s="2">
        <v>7</v>
      </c>
      <c r="M4" s="2">
        <v>53</v>
      </c>
      <c r="N4" s="2">
        <v>0.13200000000000001</v>
      </c>
      <c r="O4" s="2">
        <v>1062</v>
      </c>
      <c r="P4" s="2">
        <v>1945</v>
      </c>
      <c r="Q4" s="2">
        <v>0.54600000000000004</v>
      </c>
      <c r="R4" s="2">
        <v>0.53700000000000003</v>
      </c>
      <c r="S4" s="2">
        <v>723</v>
      </c>
      <c r="T4" s="2">
        <v>860</v>
      </c>
      <c r="U4" s="2">
        <v>0.84099999999999997</v>
      </c>
      <c r="V4" s="2">
        <v>139</v>
      </c>
      <c r="W4" s="2">
        <v>310</v>
      </c>
      <c r="X4" s="2">
        <v>449</v>
      </c>
      <c r="Y4" s="2">
        <v>485</v>
      </c>
      <c r="Z4" s="2">
        <v>259</v>
      </c>
      <c r="AA4" s="2">
        <v>131</v>
      </c>
      <c r="AB4" s="2">
        <v>252</v>
      </c>
      <c r="AC4" s="2">
        <v>270</v>
      </c>
      <c r="AD4" s="2">
        <v>2868</v>
      </c>
      <c r="AE4" s="2">
        <v>203993</v>
      </c>
      <c r="AF4" s="2">
        <v>10160</v>
      </c>
      <c r="AG4" s="2">
        <v>48599</v>
      </c>
      <c r="AH4" s="2">
        <v>16055</v>
      </c>
      <c r="AI4" s="2">
        <v>81828</v>
      </c>
    </row>
    <row r="5" spans="1:35" x14ac:dyDescent="0.25">
      <c r="A5" s="1" t="s">
        <v>54</v>
      </c>
      <c r="B5" s="2">
        <v>25</v>
      </c>
      <c r="C5" s="2" t="s">
        <v>46</v>
      </c>
      <c r="D5" s="2" t="s">
        <v>32</v>
      </c>
      <c r="E5" s="2" t="s">
        <v>33</v>
      </c>
      <c r="F5" s="2">
        <v>81</v>
      </c>
      <c r="G5" s="2">
        <v>81</v>
      </c>
      <c r="H5" s="2">
        <v>3255</v>
      </c>
      <c r="I5" s="2">
        <v>966</v>
      </c>
      <c r="J5" s="2">
        <v>1795</v>
      </c>
      <c r="K5" s="2">
        <v>0.53800000000000003</v>
      </c>
      <c r="L5" s="2">
        <v>27</v>
      </c>
      <c r="M5" s="2">
        <v>98</v>
      </c>
      <c r="N5" s="2">
        <v>0.27600000000000002</v>
      </c>
      <c r="O5" s="2">
        <v>939</v>
      </c>
      <c r="P5" s="2">
        <v>1697</v>
      </c>
      <c r="Q5" s="2">
        <v>0.55300000000000005</v>
      </c>
      <c r="R5" s="2">
        <v>0.54600000000000004</v>
      </c>
      <c r="S5" s="2">
        <v>674</v>
      </c>
      <c r="T5" s="2">
        <v>793</v>
      </c>
      <c r="U5" s="2">
        <v>0.85</v>
      </c>
      <c r="V5" s="2">
        <v>149</v>
      </c>
      <c r="W5" s="2">
        <v>503</v>
      </c>
      <c r="X5" s="2">
        <v>652</v>
      </c>
      <c r="Y5" s="2">
        <v>650</v>
      </c>
      <c r="Z5" s="2">
        <v>234</v>
      </c>
      <c r="AA5" s="2">
        <v>65</v>
      </c>
      <c r="AB5" s="2">
        <v>290</v>
      </c>
      <c r="AC5" s="2">
        <v>247</v>
      </c>
      <c r="AD5" s="2">
        <v>2633</v>
      </c>
      <c r="AE5" s="2">
        <v>223797</v>
      </c>
      <c r="AF5" s="2">
        <v>10949</v>
      </c>
      <c r="AG5" s="2">
        <v>52431</v>
      </c>
      <c r="AH5" s="2">
        <v>18619</v>
      </c>
      <c r="AI5" s="2">
        <v>90031</v>
      </c>
    </row>
    <row r="6" spans="1:35" x14ac:dyDescent="0.25">
      <c r="A6" s="1" t="s">
        <v>53</v>
      </c>
      <c r="B6" s="2">
        <v>26</v>
      </c>
      <c r="C6" s="2" t="s">
        <v>46</v>
      </c>
      <c r="D6" s="2" t="s">
        <v>32</v>
      </c>
      <c r="E6" s="2" t="s">
        <v>33</v>
      </c>
      <c r="F6" s="2">
        <v>82</v>
      </c>
      <c r="G6" s="2">
        <v>82</v>
      </c>
      <c r="H6" s="2">
        <v>3197</v>
      </c>
      <c r="I6" s="2">
        <v>1034</v>
      </c>
      <c r="J6" s="2">
        <v>1964</v>
      </c>
      <c r="K6" s="2">
        <v>0.52600000000000002</v>
      </c>
      <c r="L6" s="2">
        <v>92</v>
      </c>
      <c r="M6" s="2">
        <v>245</v>
      </c>
      <c r="N6" s="2">
        <v>0.376</v>
      </c>
      <c r="O6" s="2">
        <v>942</v>
      </c>
      <c r="P6" s="2">
        <v>1719</v>
      </c>
      <c r="Q6" s="2">
        <v>0.54800000000000004</v>
      </c>
      <c r="R6" s="2">
        <v>0.55000000000000004</v>
      </c>
      <c r="S6" s="2">
        <v>593</v>
      </c>
      <c r="T6" s="2">
        <v>699</v>
      </c>
      <c r="U6" s="2">
        <v>0.84799999999999998</v>
      </c>
      <c r="V6" s="2">
        <v>143</v>
      </c>
      <c r="W6" s="2">
        <v>422</v>
      </c>
      <c r="X6" s="2">
        <v>565</v>
      </c>
      <c r="Y6" s="2">
        <v>519</v>
      </c>
      <c r="Z6" s="2">
        <v>227</v>
      </c>
      <c r="AA6" s="2">
        <v>54</v>
      </c>
      <c r="AB6" s="2">
        <v>247</v>
      </c>
      <c r="AC6" s="2">
        <v>241</v>
      </c>
      <c r="AD6" s="2">
        <v>2753</v>
      </c>
      <c r="AE6" s="2">
        <v>236882</v>
      </c>
      <c r="AF6" s="2">
        <v>11207</v>
      </c>
      <c r="AG6" s="2">
        <v>55023</v>
      </c>
      <c r="AH6" s="2">
        <v>18881</v>
      </c>
      <c r="AI6" s="2">
        <v>99056</v>
      </c>
    </row>
    <row r="7" spans="1:35" x14ac:dyDescent="0.25">
      <c r="A7" s="1" t="s">
        <v>52</v>
      </c>
      <c r="B7" s="2">
        <v>27</v>
      </c>
      <c r="C7" s="2" t="s">
        <v>46</v>
      </c>
      <c r="D7" s="2" t="s">
        <v>32</v>
      </c>
      <c r="E7" s="2" t="s">
        <v>33</v>
      </c>
      <c r="F7" s="2">
        <v>82</v>
      </c>
      <c r="G7" s="2">
        <v>82</v>
      </c>
      <c r="H7" s="2">
        <v>3034</v>
      </c>
      <c r="I7" s="2">
        <v>990</v>
      </c>
      <c r="J7" s="2">
        <v>1837</v>
      </c>
      <c r="K7" s="2">
        <v>0.53900000000000003</v>
      </c>
      <c r="L7" s="2">
        <v>29</v>
      </c>
      <c r="M7" s="2">
        <v>93</v>
      </c>
      <c r="N7" s="2">
        <v>0.312</v>
      </c>
      <c r="O7" s="2">
        <v>961</v>
      </c>
      <c r="P7" s="2">
        <v>1744</v>
      </c>
      <c r="Q7" s="2">
        <v>0.55100000000000005</v>
      </c>
      <c r="R7" s="2">
        <v>0.54700000000000004</v>
      </c>
      <c r="S7" s="2">
        <v>571</v>
      </c>
      <c r="T7" s="2">
        <v>671</v>
      </c>
      <c r="U7" s="2">
        <v>0.85099999999999998</v>
      </c>
      <c r="V7" s="2">
        <v>118</v>
      </c>
      <c r="W7" s="2">
        <v>374</v>
      </c>
      <c r="X7" s="2">
        <v>492</v>
      </c>
      <c r="Y7" s="2">
        <v>453</v>
      </c>
      <c r="Z7" s="2">
        <v>223</v>
      </c>
      <c r="AA7" s="2">
        <v>83</v>
      </c>
      <c r="AB7" s="2">
        <v>202</v>
      </c>
      <c r="AC7" s="2">
        <v>229</v>
      </c>
      <c r="AD7" s="2">
        <v>2580</v>
      </c>
      <c r="AE7" s="2">
        <v>235370</v>
      </c>
      <c r="AF7" s="2">
        <v>11624</v>
      </c>
      <c r="AG7" s="2">
        <v>54782</v>
      </c>
      <c r="AH7" s="2">
        <v>19014</v>
      </c>
      <c r="AI7" s="2">
        <v>95776</v>
      </c>
    </row>
    <row r="8" spans="1:35" x14ac:dyDescent="0.25">
      <c r="A8" s="1" t="s">
        <v>51</v>
      </c>
      <c r="B8" s="2">
        <v>28</v>
      </c>
      <c r="C8" s="2" t="s">
        <v>46</v>
      </c>
      <c r="D8" s="2" t="s">
        <v>32</v>
      </c>
      <c r="E8" s="2" t="s">
        <v>33</v>
      </c>
      <c r="F8" s="2">
        <v>80</v>
      </c>
      <c r="G8" s="2">
        <v>80</v>
      </c>
      <c r="H8" s="2">
        <v>3102</v>
      </c>
      <c r="I8" s="2">
        <v>943</v>
      </c>
      <c r="J8" s="2">
        <v>1818</v>
      </c>
      <c r="K8" s="2">
        <v>0.51900000000000002</v>
      </c>
      <c r="L8" s="2">
        <v>27</v>
      </c>
      <c r="M8" s="2">
        <v>100</v>
      </c>
      <c r="N8" s="2">
        <v>0.27</v>
      </c>
      <c r="O8" s="2">
        <v>916</v>
      </c>
      <c r="P8" s="2">
        <v>1718</v>
      </c>
      <c r="Q8" s="2">
        <v>0.53300000000000003</v>
      </c>
      <c r="R8" s="2">
        <v>0.52600000000000002</v>
      </c>
      <c r="S8" s="2">
        <v>491</v>
      </c>
      <c r="T8" s="2">
        <v>590</v>
      </c>
      <c r="U8" s="2">
        <v>0.83199999999999996</v>
      </c>
      <c r="V8" s="2">
        <v>91</v>
      </c>
      <c r="W8" s="2">
        <v>420</v>
      </c>
      <c r="X8" s="2">
        <v>511</v>
      </c>
      <c r="Y8" s="2">
        <v>489</v>
      </c>
      <c r="Z8" s="2">
        <v>182</v>
      </c>
      <c r="AA8" s="2">
        <v>75</v>
      </c>
      <c r="AB8" s="2">
        <v>200</v>
      </c>
      <c r="AC8" s="2">
        <v>201</v>
      </c>
      <c r="AD8" s="2">
        <v>2404</v>
      </c>
      <c r="AE8" s="2">
        <v>233155</v>
      </c>
      <c r="AF8" s="2">
        <v>12216</v>
      </c>
      <c r="AG8" s="2">
        <v>54192</v>
      </c>
      <c r="AH8" s="2">
        <v>19131</v>
      </c>
      <c r="AI8" s="2">
        <v>96680</v>
      </c>
    </row>
    <row r="9" spans="1:35" x14ac:dyDescent="0.25">
      <c r="A9" s="1" t="s">
        <v>50</v>
      </c>
      <c r="B9" s="2">
        <v>29</v>
      </c>
      <c r="C9" s="2" t="s">
        <v>46</v>
      </c>
      <c r="D9" s="2" t="s">
        <v>32</v>
      </c>
      <c r="E9" s="2" t="s">
        <v>33</v>
      </c>
      <c r="F9" s="2">
        <v>78</v>
      </c>
      <c r="G9" s="2">
        <v>78</v>
      </c>
      <c r="H9" s="2">
        <v>3067</v>
      </c>
      <c r="I9" s="2">
        <v>992</v>
      </c>
      <c r="J9" s="2">
        <v>2003</v>
      </c>
      <c r="K9" s="2">
        <v>0.495</v>
      </c>
      <c r="L9" s="2">
        <v>81</v>
      </c>
      <c r="M9" s="2">
        <v>230</v>
      </c>
      <c r="N9" s="2">
        <v>0.35199999999999998</v>
      </c>
      <c r="O9" s="2">
        <v>911</v>
      </c>
      <c r="P9" s="2">
        <v>1773</v>
      </c>
      <c r="Q9" s="2">
        <v>0.51400000000000001</v>
      </c>
      <c r="R9" s="2">
        <v>0.51500000000000001</v>
      </c>
      <c r="S9" s="2">
        <v>476</v>
      </c>
      <c r="T9" s="2">
        <v>569</v>
      </c>
      <c r="U9" s="2">
        <v>0.83699999999999997</v>
      </c>
      <c r="V9" s="2">
        <v>135</v>
      </c>
      <c r="W9" s="2">
        <v>387</v>
      </c>
      <c r="X9" s="2">
        <v>522</v>
      </c>
      <c r="Y9" s="2">
        <v>428</v>
      </c>
      <c r="Z9" s="2">
        <v>221</v>
      </c>
      <c r="AA9" s="2">
        <v>61</v>
      </c>
      <c r="AB9" s="2">
        <v>207</v>
      </c>
      <c r="AC9" s="2">
        <v>188</v>
      </c>
      <c r="AD9" s="2">
        <v>2541</v>
      </c>
      <c r="AE9" s="2">
        <v>233073</v>
      </c>
      <c r="AF9" s="2">
        <v>11558</v>
      </c>
      <c r="AG9" s="2">
        <v>54705</v>
      </c>
      <c r="AH9" s="2">
        <v>18932</v>
      </c>
      <c r="AI9" s="2">
        <v>95504</v>
      </c>
    </row>
    <row r="10" spans="1:35" x14ac:dyDescent="0.25">
      <c r="A10" s="1" t="s">
        <v>49</v>
      </c>
      <c r="B10" s="2">
        <v>32</v>
      </c>
      <c r="C10" s="2" t="s">
        <v>46</v>
      </c>
      <c r="D10" s="2" t="s">
        <v>32</v>
      </c>
      <c r="E10" s="2" t="s">
        <v>33</v>
      </c>
      <c r="F10" s="2">
        <v>82</v>
      </c>
      <c r="G10" s="2">
        <v>82</v>
      </c>
      <c r="H10" s="2">
        <v>3090</v>
      </c>
      <c r="I10" s="2">
        <v>916</v>
      </c>
      <c r="J10" s="2">
        <v>1850</v>
      </c>
      <c r="K10" s="2">
        <v>0.495</v>
      </c>
      <c r="L10" s="2">
        <v>111</v>
      </c>
      <c r="M10" s="2">
        <v>260</v>
      </c>
      <c r="N10" s="2">
        <v>0.42699999999999999</v>
      </c>
      <c r="O10" s="2">
        <v>805</v>
      </c>
      <c r="P10" s="2">
        <v>1590</v>
      </c>
      <c r="Q10" s="2">
        <v>0.50600000000000001</v>
      </c>
      <c r="R10" s="2">
        <v>0.52500000000000002</v>
      </c>
      <c r="S10" s="2">
        <v>548</v>
      </c>
      <c r="T10" s="2">
        <v>657</v>
      </c>
      <c r="U10" s="2">
        <v>0.83399999999999996</v>
      </c>
      <c r="V10" s="2">
        <v>148</v>
      </c>
      <c r="W10" s="2">
        <v>395</v>
      </c>
      <c r="X10" s="2">
        <v>543</v>
      </c>
      <c r="Y10" s="2">
        <v>352</v>
      </c>
      <c r="Z10" s="2">
        <v>180</v>
      </c>
      <c r="AA10" s="2">
        <v>42</v>
      </c>
      <c r="AB10" s="2">
        <v>197</v>
      </c>
      <c r="AC10" s="2">
        <v>195</v>
      </c>
      <c r="AD10" s="2">
        <v>2491</v>
      </c>
      <c r="AE10" s="2">
        <v>236619</v>
      </c>
      <c r="AF10" s="2">
        <v>12038</v>
      </c>
      <c r="AG10" s="2">
        <v>53950</v>
      </c>
      <c r="AH10" s="2">
        <v>18952</v>
      </c>
      <c r="AI10" s="2">
        <v>98099</v>
      </c>
    </row>
    <row r="11" spans="1:35" x14ac:dyDescent="0.25">
      <c r="A11" s="1" t="s">
        <v>48</v>
      </c>
      <c r="B11" s="2">
        <v>33</v>
      </c>
      <c r="C11" s="2" t="s">
        <v>46</v>
      </c>
      <c r="D11" s="2" t="s">
        <v>32</v>
      </c>
      <c r="E11" s="2" t="s">
        <v>33</v>
      </c>
      <c r="F11" s="2">
        <v>82</v>
      </c>
      <c r="G11" s="2">
        <v>82</v>
      </c>
      <c r="H11" s="2">
        <v>3106</v>
      </c>
      <c r="I11" s="2">
        <v>920</v>
      </c>
      <c r="J11" s="2">
        <v>1892</v>
      </c>
      <c r="K11" s="2">
        <v>0.48599999999999999</v>
      </c>
      <c r="L11" s="2">
        <v>111</v>
      </c>
      <c r="M11" s="2">
        <v>297</v>
      </c>
      <c r="N11" s="2">
        <v>0.374</v>
      </c>
      <c r="O11" s="2">
        <v>809</v>
      </c>
      <c r="P11" s="2">
        <v>1595</v>
      </c>
      <c r="Q11" s="2">
        <v>0.50700000000000001</v>
      </c>
      <c r="R11" s="2">
        <v>0.51600000000000001</v>
      </c>
      <c r="S11" s="2">
        <v>480</v>
      </c>
      <c r="T11" s="2">
        <v>576</v>
      </c>
      <c r="U11" s="2">
        <v>0.83299999999999996</v>
      </c>
      <c r="V11" s="2">
        <v>113</v>
      </c>
      <c r="W11" s="2">
        <v>369</v>
      </c>
      <c r="X11" s="2">
        <v>482</v>
      </c>
      <c r="Y11" s="2">
        <v>352</v>
      </c>
      <c r="Z11" s="2">
        <v>140</v>
      </c>
      <c r="AA11" s="2">
        <v>44</v>
      </c>
      <c r="AB11" s="2">
        <v>166</v>
      </c>
      <c r="AC11" s="2">
        <v>156</v>
      </c>
      <c r="AD11" s="2">
        <v>2431</v>
      </c>
      <c r="AE11" s="2">
        <v>230433</v>
      </c>
      <c r="AF11" s="2">
        <v>11674</v>
      </c>
      <c r="AG11" s="2">
        <v>52426</v>
      </c>
      <c r="AH11" s="2">
        <v>19486</v>
      </c>
      <c r="AI11" s="2">
        <v>97703</v>
      </c>
    </row>
    <row r="12" spans="1:35" x14ac:dyDescent="0.25">
      <c r="A12" s="1" t="s">
        <v>47</v>
      </c>
      <c r="B12" s="2">
        <v>34</v>
      </c>
      <c r="C12" s="2" t="s">
        <v>46</v>
      </c>
      <c r="D12" s="2" t="s">
        <v>32</v>
      </c>
      <c r="E12" s="2" t="s">
        <v>33</v>
      </c>
      <c r="F12" s="2">
        <v>82</v>
      </c>
      <c r="G12" s="2">
        <v>82</v>
      </c>
      <c r="H12" s="2">
        <v>3181</v>
      </c>
      <c r="I12" s="2">
        <v>881</v>
      </c>
      <c r="J12" s="2">
        <v>1893</v>
      </c>
      <c r="K12" s="2">
        <v>0.46500000000000002</v>
      </c>
      <c r="L12" s="2">
        <v>30</v>
      </c>
      <c r="M12" s="2">
        <v>126</v>
      </c>
      <c r="N12" s="2">
        <v>0.23799999999999999</v>
      </c>
      <c r="O12" s="2">
        <v>851</v>
      </c>
      <c r="P12" s="2">
        <v>1767</v>
      </c>
      <c r="Q12" s="2">
        <v>0.48199999999999998</v>
      </c>
      <c r="R12" s="2">
        <v>0.47299999999999998</v>
      </c>
      <c r="S12" s="2">
        <v>565</v>
      </c>
      <c r="T12" s="2">
        <v>721</v>
      </c>
      <c r="U12" s="2">
        <v>0.78400000000000003</v>
      </c>
      <c r="V12" s="2">
        <v>130</v>
      </c>
      <c r="W12" s="2">
        <v>345</v>
      </c>
      <c r="X12" s="2">
        <v>475</v>
      </c>
      <c r="Y12" s="2">
        <v>283</v>
      </c>
      <c r="Z12" s="2">
        <v>141</v>
      </c>
      <c r="AA12" s="2">
        <v>45</v>
      </c>
      <c r="AB12" s="2">
        <v>185</v>
      </c>
      <c r="AC12" s="2">
        <v>151</v>
      </c>
      <c r="AD12" s="2">
        <v>2357</v>
      </c>
      <c r="AE12" s="2">
        <v>227269</v>
      </c>
      <c r="AF12" s="2">
        <v>12062</v>
      </c>
      <c r="AG12" s="2">
        <v>52386</v>
      </c>
      <c r="AH12" s="2">
        <v>19943</v>
      </c>
      <c r="AI12" s="2">
        <v>98798</v>
      </c>
    </row>
    <row r="17" spans="15:15" x14ac:dyDescent="0.25">
      <c r="O1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8D90-9E53-4BFE-A6F7-2EC39D1BC838}">
  <dimension ref="A1:AI27"/>
  <sheetViews>
    <sheetView workbookViewId="0">
      <selection activeCell="F2" sqref="F2:F12"/>
    </sheetView>
  </sheetViews>
  <sheetFormatPr defaultRowHeight="15" x14ac:dyDescent="0.25"/>
  <cols>
    <col min="1" max="1" width="7.7109375" bestFit="1" customWidth="1"/>
    <col min="2" max="2" width="4.28515625" bestFit="1" customWidth="1"/>
    <col min="3" max="3" width="5.85546875" bestFit="1" customWidth="1"/>
    <col min="4" max="4" width="4.7109375" bestFit="1" customWidth="1"/>
    <col min="5" max="5" width="4.28515625" bestFit="1" customWidth="1"/>
    <col min="6" max="6" width="5" bestFit="1" customWidth="1"/>
    <col min="7" max="7" width="6.42578125" customWidth="1"/>
    <col min="8" max="11" width="6" bestFit="1" customWidth="1"/>
    <col min="12" max="13" width="5" bestFit="1" customWidth="1"/>
    <col min="14" max="17" width="6" bestFit="1" customWidth="1"/>
    <col min="18" max="18" width="6.140625" bestFit="1" customWidth="1"/>
    <col min="19" max="19" width="5" bestFit="1" customWidth="1"/>
    <col min="20" max="21" width="6" bestFit="1" customWidth="1"/>
    <col min="22" max="22" width="5" bestFit="1" customWidth="1"/>
    <col min="23" max="25" width="6" bestFit="1" customWidth="1"/>
    <col min="26" max="29" width="5" bestFit="1" customWidth="1"/>
    <col min="30" max="30" width="6" bestFit="1" customWidth="1"/>
  </cols>
  <sheetData>
    <row r="1" spans="1:3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</row>
    <row r="2" spans="1:35" x14ac:dyDescent="0.25">
      <c r="A2" s="1" t="s">
        <v>30</v>
      </c>
      <c r="B2" s="2">
        <v>19</v>
      </c>
      <c r="C2" s="2" t="s">
        <v>31</v>
      </c>
      <c r="D2" s="2" t="s">
        <v>32</v>
      </c>
      <c r="E2" s="2" t="s">
        <v>33</v>
      </c>
      <c r="F2" s="2">
        <v>79</v>
      </c>
      <c r="G2" s="2">
        <v>79</v>
      </c>
      <c r="H2" s="2">
        <v>3122</v>
      </c>
      <c r="I2" s="2">
        <v>622</v>
      </c>
      <c r="J2" s="2">
        <v>1492</v>
      </c>
      <c r="K2" s="2">
        <v>0.41699999999999998</v>
      </c>
      <c r="L2" s="2">
        <v>63</v>
      </c>
      <c r="M2" s="2">
        <v>217</v>
      </c>
      <c r="N2" s="2">
        <v>0.28999999999999998</v>
      </c>
      <c r="O2" s="2">
        <v>559</v>
      </c>
      <c r="P2" s="2">
        <v>1275</v>
      </c>
      <c r="Q2" s="2">
        <v>0.438</v>
      </c>
      <c r="R2" s="2">
        <v>0.438</v>
      </c>
      <c r="S2" s="2">
        <v>347</v>
      </c>
      <c r="T2" s="2">
        <v>460</v>
      </c>
      <c r="U2" s="2">
        <v>0.754</v>
      </c>
      <c r="V2" s="2">
        <v>99</v>
      </c>
      <c r="W2" s="2">
        <v>333</v>
      </c>
      <c r="X2" s="2">
        <v>432</v>
      </c>
      <c r="Y2" s="2">
        <v>465</v>
      </c>
      <c r="Z2" s="2">
        <v>130</v>
      </c>
      <c r="AA2" s="2">
        <v>58</v>
      </c>
      <c r="AB2" s="2">
        <v>273</v>
      </c>
      <c r="AC2" s="2">
        <v>149</v>
      </c>
      <c r="AD2" s="2">
        <v>1654</v>
      </c>
      <c r="AE2" s="2">
        <v>222097</v>
      </c>
      <c r="AF2" s="2">
        <v>12022</v>
      </c>
      <c r="AG2" s="2">
        <v>50658</v>
      </c>
      <c r="AH2" s="2">
        <v>18864</v>
      </c>
      <c r="AI2" s="2">
        <v>100361</v>
      </c>
    </row>
    <row r="3" spans="1:35" x14ac:dyDescent="0.25">
      <c r="A3" s="1" t="s">
        <v>34</v>
      </c>
      <c r="B3" s="2">
        <v>20</v>
      </c>
      <c r="C3" s="2" t="s">
        <v>31</v>
      </c>
      <c r="D3" s="2" t="s">
        <v>32</v>
      </c>
      <c r="E3" s="2" t="s">
        <v>35</v>
      </c>
      <c r="F3" s="2">
        <v>80</v>
      </c>
      <c r="G3" s="2">
        <v>80</v>
      </c>
      <c r="H3" s="2">
        <v>3388</v>
      </c>
      <c r="I3" s="2">
        <v>795</v>
      </c>
      <c r="J3" s="2">
        <v>1684</v>
      </c>
      <c r="K3" s="2">
        <v>0.47199999999999998</v>
      </c>
      <c r="L3" s="2">
        <v>108</v>
      </c>
      <c r="M3" s="2">
        <v>308</v>
      </c>
      <c r="N3" s="2">
        <v>0.35099999999999998</v>
      </c>
      <c r="O3" s="2">
        <v>687</v>
      </c>
      <c r="P3" s="2">
        <v>1376</v>
      </c>
      <c r="Q3" s="2">
        <v>0.499</v>
      </c>
      <c r="R3" s="2">
        <v>0.504</v>
      </c>
      <c r="S3" s="2">
        <v>477</v>
      </c>
      <c r="T3" s="2">
        <v>636</v>
      </c>
      <c r="U3" s="2">
        <v>0.75</v>
      </c>
      <c r="V3" s="2">
        <v>111</v>
      </c>
      <c r="W3" s="2">
        <v>477</v>
      </c>
      <c r="X3" s="2">
        <v>588</v>
      </c>
      <c r="Y3" s="2">
        <v>577</v>
      </c>
      <c r="Z3" s="2">
        <v>177</v>
      </c>
      <c r="AA3" s="2">
        <v>52</v>
      </c>
      <c r="AB3" s="2">
        <v>262</v>
      </c>
      <c r="AC3" s="2">
        <v>146</v>
      </c>
      <c r="AD3" s="2">
        <v>2175</v>
      </c>
      <c r="AE3" s="2">
        <v>239109</v>
      </c>
      <c r="AF3" s="2">
        <v>11963</v>
      </c>
      <c r="AG3" s="2">
        <v>52342</v>
      </c>
      <c r="AH3" s="2">
        <v>18489</v>
      </c>
      <c r="AI3" s="2">
        <v>102970</v>
      </c>
    </row>
    <row r="4" spans="1:35" x14ac:dyDescent="0.25">
      <c r="A4" s="1" t="s">
        <v>36</v>
      </c>
      <c r="B4" s="2">
        <v>21</v>
      </c>
      <c r="C4" s="2" t="s">
        <v>31</v>
      </c>
      <c r="D4" s="2" t="s">
        <v>32</v>
      </c>
      <c r="E4" s="2" t="s">
        <v>35</v>
      </c>
      <c r="F4" s="2">
        <v>79</v>
      </c>
      <c r="G4" s="2">
        <v>79</v>
      </c>
      <c r="H4" s="2">
        <v>3361</v>
      </c>
      <c r="I4" s="2">
        <v>875</v>
      </c>
      <c r="J4" s="2">
        <v>1823</v>
      </c>
      <c r="K4" s="2">
        <v>0.48</v>
      </c>
      <c r="L4" s="2">
        <v>127</v>
      </c>
      <c r="M4" s="2">
        <v>379</v>
      </c>
      <c r="N4" s="2">
        <v>0.33500000000000002</v>
      </c>
      <c r="O4" s="2">
        <v>748</v>
      </c>
      <c r="P4" s="2">
        <v>1444</v>
      </c>
      <c r="Q4" s="2">
        <v>0.51800000000000002</v>
      </c>
      <c r="R4" s="2">
        <v>0.51500000000000001</v>
      </c>
      <c r="S4" s="2">
        <v>601</v>
      </c>
      <c r="T4" s="2">
        <v>814</v>
      </c>
      <c r="U4" s="2">
        <v>0.73799999999999999</v>
      </c>
      <c r="V4" s="2">
        <v>75</v>
      </c>
      <c r="W4" s="2">
        <v>481</v>
      </c>
      <c r="X4" s="2">
        <v>556</v>
      </c>
      <c r="Y4" s="2">
        <v>521</v>
      </c>
      <c r="Z4" s="2">
        <v>123</v>
      </c>
      <c r="AA4" s="2">
        <v>66</v>
      </c>
      <c r="AB4" s="2">
        <v>260</v>
      </c>
      <c r="AC4" s="2">
        <v>181</v>
      </c>
      <c r="AD4" s="2">
        <v>2478</v>
      </c>
      <c r="AE4" s="2">
        <v>238641</v>
      </c>
      <c r="AF4" s="2">
        <v>11560</v>
      </c>
      <c r="AG4" s="2">
        <v>50711</v>
      </c>
      <c r="AH4" s="2">
        <v>17632</v>
      </c>
      <c r="AI4" s="2">
        <v>100754</v>
      </c>
    </row>
    <row r="5" spans="1:35" x14ac:dyDescent="0.25">
      <c r="A5" s="1" t="s">
        <v>37</v>
      </c>
      <c r="B5" s="2">
        <v>22</v>
      </c>
      <c r="C5" s="2" t="s">
        <v>31</v>
      </c>
      <c r="D5" s="2" t="s">
        <v>32</v>
      </c>
      <c r="E5" s="2" t="s">
        <v>35</v>
      </c>
      <c r="F5" s="2">
        <v>78</v>
      </c>
      <c r="G5" s="2">
        <v>78</v>
      </c>
      <c r="H5" s="2">
        <v>3190</v>
      </c>
      <c r="I5" s="2">
        <v>772</v>
      </c>
      <c r="J5" s="2">
        <v>1621</v>
      </c>
      <c r="K5" s="2">
        <v>0.47599999999999998</v>
      </c>
      <c r="L5" s="2">
        <v>99</v>
      </c>
      <c r="M5" s="2">
        <v>310</v>
      </c>
      <c r="N5" s="2">
        <v>0.31900000000000001</v>
      </c>
      <c r="O5" s="2">
        <v>673</v>
      </c>
      <c r="P5" s="2">
        <v>1311</v>
      </c>
      <c r="Q5" s="2">
        <v>0.51300000000000001</v>
      </c>
      <c r="R5" s="2">
        <v>0.50700000000000001</v>
      </c>
      <c r="S5" s="2">
        <v>489</v>
      </c>
      <c r="T5" s="2">
        <v>701</v>
      </c>
      <c r="U5" s="2">
        <v>0.69799999999999995</v>
      </c>
      <c r="V5" s="2">
        <v>83</v>
      </c>
      <c r="W5" s="2">
        <v>443</v>
      </c>
      <c r="X5" s="2">
        <v>526</v>
      </c>
      <c r="Y5" s="2">
        <v>470</v>
      </c>
      <c r="Z5" s="2">
        <v>125</v>
      </c>
      <c r="AA5" s="2">
        <v>55</v>
      </c>
      <c r="AB5" s="2">
        <v>250</v>
      </c>
      <c r="AC5" s="2">
        <v>171</v>
      </c>
      <c r="AD5" s="2">
        <v>2132</v>
      </c>
      <c r="AE5" s="2">
        <v>242899</v>
      </c>
      <c r="AF5" s="2">
        <v>11329</v>
      </c>
      <c r="AG5" s="2">
        <v>52365</v>
      </c>
      <c r="AH5" s="2">
        <v>17807</v>
      </c>
      <c r="AI5" s="2">
        <v>100994</v>
      </c>
    </row>
    <row r="6" spans="1:35" x14ac:dyDescent="0.25">
      <c r="A6" s="1" t="s">
        <v>38</v>
      </c>
      <c r="B6" s="2">
        <v>23</v>
      </c>
      <c r="C6" s="2" t="s">
        <v>31</v>
      </c>
      <c r="D6" s="2" t="s">
        <v>32</v>
      </c>
      <c r="E6" s="2" t="s">
        <v>35</v>
      </c>
      <c r="F6" s="2">
        <v>75</v>
      </c>
      <c r="G6" s="2">
        <v>74</v>
      </c>
      <c r="H6" s="2">
        <v>3027</v>
      </c>
      <c r="I6" s="2">
        <v>794</v>
      </c>
      <c r="J6" s="2">
        <v>1642</v>
      </c>
      <c r="K6" s="2">
        <v>0.48399999999999999</v>
      </c>
      <c r="L6" s="2">
        <v>113</v>
      </c>
      <c r="M6" s="2">
        <v>359</v>
      </c>
      <c r="N6" s="2">
        <v>0.315</v>
      </c>
      <c r="O6" s="2">
        <v>681</v>
      </c>
      <c r="P6" s="2">
        <v>1283</v>
      </c>
      <c r="Q6" s="2">
        <v>0.53100000000000003</v>
      </c>
      <c r="R6" s="2">
        <v>0.51800000000000002</v>
      </c>
      <c r="S6" s="2">
        <v>549</v>
      </c>
      <c r="T6" s="2">
        <v>771</v>
      </c>
      <c r="U6" s="2">
        <v>0.71199999999999997</v>
      </c>
      <c r="V6" s="2">
        <v>133</v>
      </c>
      <c r="W6" s="2">
        <v>459</v>
      </c>
      <c r="X6" s="2">
        <v>592</v>
      </c>
      <c r="Y6" s="2">
        <v>539</v>
      </c>
      <c r="Z6" s="2">
        <v>138</v>
      </c>
      <c r="AA6" s="2">
        <v>81</v>
      </c>
      <c r="AB6" s="2">
        <v>255</v>
      </c>
      <c r="AC6" s="2">
        <v>165</v>
      </c>
      <c r="AD6" s="2">
        <v>2250</v>
      </c>
      <c r="AE6" s="2">
        <v>245811</v>
      </c>
      <c r="AF6" s="2">
        <v>11651</v>
      </c>
      <c r="AG6" s="2">
        <v>53506</v>
      </c>
      <c r="AH6" s="2">
        <v>17897</v>
      </c>
      <c r="AI6" s="2">
        <v>103271</v>
      </c>
    </row>
    <row r="7" spans="1:35" x14ac:dyDescent="0.25">
      <c r="A7" s="1" t="s">
        <v>39</v>
      </c>
      <c r="B7" s="2">
        <v>24</v>
      </c>
      <c r="C7" s="2" t="s">
        <v>31</v>
      </c>
      <c r="D7" s="2" t="s">
        <v>32</v>
      </c>
      <c r="E7" s="2" t="s">
        <v>35</v>
      </c>
      <c r="F7" s="2">
        <v>81</v>
      </c>
      <c r="G7" s="2">
        <v>81</v>
      </c>
      <c r="H7" s="2">
        <v>3054</v>
      </c>
      <c r="I7" s="2">
        <v>789</v>
      </c>
      <c r="J7" s="2">
        <v>1613</v>
      </c>
      <c r="K7" s="2">
        <v>0.48899999999999999</v>
      </c>
      <c r="L7" s="2">
        <v>132</v>
      </c>
      <c r="M7" s="2">
        <v>384</v>
      </c>
      <c r="N7" s="2">
        <v>0.34399999999999997</v>
      </c>
      <c r="O7" s="2">
        <v>657</v>
      </c>
      <c r="P7" s="2">
        <v>1229</v>
      </c>
      <c r="Q7" s="2">
        <v>0.53500000000000003</v>
      </c>
      <c r="R7" s="2">
        <v>0.53</v>
      </c>
      <c r="S7" s="2">
        <v>594</v>
      </c>
      <c r="T7" s="2">
        <v>762</v>
      </c>
      <c r="U7" s="2">
        <v>0.78</v>
      </c>
      <c r="V7" s="2">
        <v>106</v>
      </c>
      <c r="W7" s="2">
        <v>507</v>
      </c>
      <c r="X7" s="2">
        <v>613</v>
      </c>
      <c r="Y7" s="2">
        <v>587</v>
      </c>
      <c r="Z7" s="2">
        <v>137</v>
      </c>
      <c r="AA7" s="2">
        <v>93</v>
      </c>
      <c r="AB7" s="2">
        <v>241</v>
      </c>
      <c r="AC7" s="2">
        <v>139</v>
      </c>
      <c r="AD7" s="2">
        <v>2304</v>
      </c>
      <c r="AE7" s="2">
        <v>245879</v>
      </c>
      <c r="AF7" s="2">
        <v>11817</v>
      </c>
      <c r="AG7" s="2">
        <v>51605</v>
      </c>
      <c r="AH7" s="2">
        <v>17883</v>
      </c>
      <c r="AI7" s="2">
        <v>101586</v>
      </c>
    </row>
    <row r="8" spans="1:35" x14ac:dyDescent="0.25">
      <c r="A8" s="1" t="s">
        <v>40</v>
      </c>
      <c r="B8" s="2">
        <v>25</v>
      </c>
      <c r="C8" s="2" t="s">
        <v>31</v>
      </c>
      <c r="D8" s="2" t="s">
        <v>32</v>
      </c>
      <c r="E8" s="2" t="s">
        <v>35</v>
      </c>
      <c r="F8" s="2">
        <v>76</v>
      </c>
      <c r="G8" s="2">
        <v>76</v>
      </c>
      <c r="H8" s="2">
        <v>2966</v>
      </c>
      <c r="I8" s="2">
        <v>768</v>
      </c>
      <c r="J8" s="2">
        <v>1528</v>
      </c>
      <c r="K8" s="2">
        <v>0.503</v>
      </c>
      <c r="L8" s="2">
        <v>129</v>
      </c>
      <c r="M8" s="2">
        <v>387</v>
      </c>
      <c r="N8" s="2">
        <v>0.33300000000000002</v>
      </c>
      <c r="O8" s="2">
        <v>639</v>
      </c>
      <c r="P8" s="2">
        <v>1141</v>
      </c>
      <c r="Q8" s="2">
        <v>0.56000000000000005</v>
      </c>
      <c r="R8" s="2">
        <v>0.54500000000000004</v>
      </c>
      <c r="S8" s="2">
        <v>593</v>
      </c>
      <c r="T8" s="2">
        <v>773</v>
      </c>
      <c r="U8" s="2">
        <v>0.76700000000000002</v>
      </c>
      <c r="V8" s="2">
        <v>71</v>
      </c>
      <c r="W8" s="2">
        <v>483</v>
      </c>
      <c r="X8" s="2">
        <v>554</v>
      </c>
      <c r="Y8" s="2">
        <v>651</v>
      </c>
      <c r="Z8" s="2">
        <v>125</v>
      </c>
      <c r="AA8" s="2">
        <v>77</v>
      </c>
      <c r="AB8" s="2">
        <v>261</v>
      </c>
      <c r="AC8" s="2">
        <v>119</v>
      </c>
      <c r="AD8" s="2">
        <v>2258</v>
      </c>
      <c r="AE8" s="2">
        <v>247100</v>
      </c>
      <c r="AF8" s="2">
        <v>11947</v>
      </c>
      <c r="AG8" s="2">
        <v>52258</v>
      </c>
      <c r="AH8" s="2">
        <v>17759</v>
      </c>
      <c r="AI8" s="2">
        <v>102640</v>
      </c>
    </row>
    <row r="9" spans="1:35" x14ac:dyDescent="0.25">
      <c r="A9" s="1" t="s">
        <v>41</v>
      </c>
      <c r="B9" s="2">
        <v>26</v>
      </c>
      <c r="C9" s="2" t="s">
        <v>42</v>
      </c>
      <c r="D9" s="2" t="s">
        <v>32</v>
      </c>
      <c r="E9" s="2" t="s">
        <v>35</v>
      </c>
      <c r="F9" s="2">
        <v>79</v>
      </c>
      <c r="G9" s="2">
        <v>79</v>
      </c>
      <c r="H9" s="2">
        <v>3063</v>
      </c>
      <c r="I9" s="2">
        <v>758</v>
      </c>
      <c r="J9" s="2">
        <v>1485</v>
      </c>
      <c r="K9" s="2">
        <v>0.51</v>
      </c>
      <c r="L9" s="2">
        <v>92</v>
      </c>
      <c r="M9" s="2">
        <v>279</v>
      </c>
      <c r="N9" s="2">
        <v>0.33</v>
      </c>
      <c r="O9" s="2">
        <v>666</v>
      </c>
      <c r="P9" s="2">
        <v>1206</v>
      </c>
      <c r="Q9" s="2">
        <v>0.55200000000000005</v>
      </c>
      <c r="R9" s="2">
        <v>0.54100000000000004</v>
      </c>
      <c r="S9" s="2">
        <v>503</v>
      </c>
      <c r="T9" s="2">
        <v>663</v>
      </c>
      <c r="U9" s="2">
        <v>0.75900000000000001</v>
      </c>
      <c r="V9" s="2">
        <v>80</v>
      </c>
      <c r="W9" s="2">
        <v>510</v>
      </c>
      <c r="X9" s="2">
        <v>590</v>
      </c>
      <c r="Y9" s="2">
        <v>554</v>
      </c>
      <c r="Z9" s="2">
        <v>124</v>
      </c>
      <c r="AA9" s="2">
        <v>50</v>
      </c>
      <c r="AB9" s="2">
        <v>284</v>
      </c>
      <c r="AC9" s="2">
        <v>163</v>
      </c>
      <c r="AD9" s="2">
        <v>2111</v>
      </c>
      <c r="AE9" s="2">
        <v>244894</v>
      </c>
      <c r="AF9" s="2">
        <v>11966</v>
      </c>
      <c r="AG9" s="2">
        <v>52887</v>
      </c>
      <c r="AH9" s="2">
        <v>18023</v>
      </c>
      <c r="AI9" s="2">
        <v>101816</v>
      </c>
    </row>
    <row r="10" spans="1:35" x14ac:dyDescent="0.25">
      <c r="A10" s="1" t="s">
        <v>43</v>
      </c>
      <c r="B10" s="2">
        <v>27</v>
      </c>
      <c r="C10" s="2" t="s">
        <v>42</v>
      </c>
      <c r="D10" s="2" t="s">
        <v>32</v>
      </c>
      <c r="E10" s="2" t="s">
        <v>35</v>
      </c>
      <c r="F10" s="2">
        <v>62</v>
      </c>
      <c r="G10" s="2">
        <v>62</v>
      </c>
      <c r="H10" s="2">
        <v>2326</v>
      </c>
      <c r="I10" s="2">
        <v>621</v>
      </c>
      <c r="J10" s="2">
        <v>1169</v>
      </c>
      <c r="K10" s="2">
        <v>0.53100000000000003</v>
      </c>
      <c r="L10" s="2">
        <v>54</v>
      </c>
      <c r="M10" s="2">
        <v>149</v>
      </c>
      <c r="N10" s="2">
        <v>0.36199999999999999</v>
      </c>
      <c r="O10" s="2">
        <v>567</v>
      </c>
      <c r="P10" s="2">
        <v>1020</v>
      </c>
      <c r="Q10" s="2">
        <v>0.55600000000000005</v>
      </c>
      <c r="R10" s="2">
        <v>0.55400000000000005</v>
      </c>
      <c r="S10" s="2">
        <v>387</v>
      </c>
      <c r="T10" s="2">
        <v>502</v>
      </c>
      <c r="U10" s="2">
        <v>0.77100000000000002</v>
      </c>
      <c r="V10" s="2">
        <v>94</v>
      </c>
      <c r="W10" s="2">
        <v>398</v>
      </c>
      <c r="X10" s="2">
        <v>492</v>
      </c>
      <c r="Y10" s="2">
        <v>387</v>
      </c>
      <c r="Z10" s="2">
        <v>115</v>
      </c>
      <c r="AA10" s="2">
        <v>50</v>
      </c>
      <c r="AB10" s="2">
        <v>213</v>
      </c>
      <c r="AC10" s="2">
        <v>96</v>
      </c>
      <c r="AD10" s="2">
        <v>1683</v>
      </c>
      <c r="AE10" s="2">
        <v>190594</v>
      </c>
      <c r="AF10" s="2">
        <v>10086</v>
      </c>
      <c r="AG10" s="2">
        <v>41533</v>
      </c>
      <c r="AH10" s="2">
        <v>15200</v>
      </c>
      <c r="AI10" s="2">
        <v>83513</v>
      </c>
    </row>
    <row r="11" spans="1:35" x14ac:dyDescent="0.25">
      <c r="A11" s="1" t="s">
        <v>44</v>
      </c>
      <c r="B11" s="2">
        <v>28</v>
      </c>
      <c r="C11" s="2" t="s">
        <v>42</v>
      </c>
      <c r="D11" s="2" t="s">
        <v>32</v>
      </c>
      <c r="E11" s="2" t="s">
        <v>28</v>
      </c>
      <c r="F11" s="2">
        <v>76</v>
      </c>
      <c r="G11" s="2">
        <v>76</v>
      </c>
      <c r="H11" s="2">
        <v>2877</v>
      </c>
      <c r="I11" s="2">
        <v>765</v>
      </c>
      <c r="J11" s="2">
        <v>1354</v>
      </c>
      <c r="K11" s="2">
        <v>0.56499999999999995</v>
      </c>
      <c r="L11" s="2">
        <v>103</v>
      </c>
      <c r="M11" s="2">
        <v>254</v>
      </c>
      <c r="N11" s="2">
        <v>0.40600000000000003</v>
      </c>
      <c r="O11" s="2">
        <v>662</v>
      </c>
      <c r="P11" s="2">
        <v>1100</v>
      </c>
      <c r="Q11" s="2">
        <v>0.60199999999999998</v>
      </c>
      <c r="R11" s="2">
        <v>0.60299999999999998</v>
      </c>
      <c r="S11" s="2">
        <v>403</v>
      </c>
      <c r="T11" s="2">
        <v>535</v>
      </c>
      <c r="U11" s="2">
        <v>0.753</v>
      </c>
      <c r="V11" s="2">
        <v>97</v>
      </c>
      <c r="W11" s="2">
        <v>513</v>
      </c>
      <c r="X11" s="2">
        <v>610</v>
      </c>
      <c r="Y11" s="2">
        <v>551</v>
      </c>
      <c r="Z11" s="2">
        <v>129</v>
      </c>
      <c r="AA11" s="2">
        <v>67</v>
      </c>
      <c r="AB11" s="2">
        <v>226</v>
      </c>
      <c r="AC11" s="2">
        <v>110</v>
      </c>
      <c r="AD11" s="2">
        <v>2036</v>
      </c>
      <c r="AE11" s="2">
        <v>241223</v>
      </c>
      <c r="AF11" s="2">
        <v>12622</v>
      </c>
      <c r="AG11" s="2">
        <v>54415</v>
      </c>
      <c r="AH11" s="2">
        <v>19178</v>
      </c>
      <c r="AI11" s="2">
        <v>103575</v>
      </c>
    </row>
    <row r="12" spans="1:35" x14ac:dyDescent="0.25">
      <c r="A12" s="1" t="s">
        <v>45</v>
      </c>
      <c r="B12" s="2">
        <v>29</v>
      </c>
      <c r="C12" s="2" t="s">
        <v>42</v>
      </c>
      <c r="D12" s="2" t="s">
        <v>32</v>
      </c>
      <c r="E12" s="2" t="s">
        <v>28</v>
      </c>
      <c r="F12" s="2">
        <v>77</v>
      </c>
      <c r="G12" s="2">
        <v>77</v>
      </c>
      <c r="H12" s="2">
        <v>2902</v>
      </c>
      <c r="I12" s="2">
        <v>767</v>
      </c>
      <c r="J12" s="2">
        <v>1353</v>
      </c>
      <c r="K12" s="2">
        <v>0.56699999999999995</v>
      </c>
      <c r="L12" s="2">
        <v>116</v>
      </c>
      <c r="M12" s="2">
        <v>306</v>
      </c>
      <c r="N12" s="2">
        <v>0.379</v>
      </c>
      <c r="O12" s="2">
        <v>651</v>
      </c>
      <c r="P12" s="2">
        <v>1047</v>
      </c>
      <c r="Q12" s="2">
        <v>0.622</v>
      </c>
      <c r="R12" s="2">
        <v>0.61</v>
      </c>
      <c r="S12" s="2">
        <v>439</v>
      </c>
      <c r="T12" s="2">
        <v>585</v>
      </c>
      <c r="U12" s="2">
        <v>0.75</v>
      </c>
      <c r="V12" s="2">
        <v>81</v>
      </c>
      <c r="W12" s="2">
        <v>452</v>
      </c>
      <c r="X12" s="2">
        <v>533</v>
      </c>
      <c r="Y12" s="2">
        <v>488</v>
      </c>
      <c r="Z12" s="2">
        <v>121</v>
      </c>
      <c r="AA12" s="2">
        <v>26</v>
      </c>
      <c r="AB12" s="2">
        <v>270</v>
      </c>
      <c r="AC12" s="2">
        <v>126</v>
      </c>
      <c r="AD12" s="2">
        <v>2089</v>
      </c>
      <c r="AE12" s="2">
        <v>248482</v>
      </c>
      <c r="AF12" s="2">
        <v>11594</v>
      </c>
      <c r="AG12" s="2">
        <v>54131</v>
      </c>
      <c r="AH12" s="2">
        <v>18895</v>
      </c>
      <c r="AI12" s="2">
        <v>105161</v>
      </c>
    </row>
    <row r="13" spans="1:35" x14ac:dyDescent="0.2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5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5" x14ac:dyDescent="0.2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5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2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5">
      <c r="A25" s="4"/>
      <c r="B25" s="4"/>
      <c r="C25" s="4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7.25" customHeight="1" x14ac:dyDescent="0.25">
      <c r="A26" s="4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5" customHeight="1" x14ac:dyDescent="0.25">
      <c r="A27" s="4"/>
      <c r="B27" s="4"/>
      <c r="C27" s="4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</sheetData>
  <mergeCells count="3">
    <mergeCell ref="A25:D25"/>
    <mergeCell ref="A26:D26"/>
    <mergeCell ref="A27:D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A441-8938-4432-9570-947B6F6F4355}">
  <dimension ref="A1:AP23"/>
  <sheetViews>
    <sheetView topLeftCell="N1" workbookViewId="0">
      <selection activeCell="AO13" sqref="AO13:AO23"/>
    </sheetView>
  </sheetViews>
  <sheetFormatPr defaultRowHeight="15" x14ac:dyDescent="0.25"/>
  <cols>
    <col min="1" max="2" width="14.5703125" bestFit="1" customWidth="1"/>
  </cols>
  <sheetData>
    <row r="1" spans="1:42" ht="60" x14ac:dyDescent="0.25">
      <c r="A1" s="6" t="s">
        <v>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/>
    </row>
    <row r="2" spans="1:42" x14ac:dyDescent="0.25">
      <c r="A2" t="s">
        <v>64</v>
      </c>
      <c r="B2" s="1" t="s">
        <v>57</v>
      </c>
      <c r="C2" s="2">
        <v>21</v>
      </c>
      <c r="D2" s="2" t="s">
        <v>46</v>
      </c>
      <c r="E2" s="2" t="s">
        <v>32</v>
      </c>
      <c r="F2" s="2" t="s">
        <v>33</v>
      </c>
      <c r="G2" s="2">
        <v>82</v>
      </c>
      <c r="H2" s="2">
        <v>82</v>
      </c>
      <c r="I2" s="2">
        <v>3144</v>
      </c>
      <c r="J2" s="2">
        <v>837</v>
      </c>
      <c r="K2" s="2">
        <v>1625</v>
      </c>
      <c r="L2" s="2">
        <v>0.51500000000000001</v>
      </c>
      <c r="M2" s="2">
        <v>9</v>
      </c>
      <c r="N2" s="2">
        <v>52</v>
      </c>
      <c r="O2" s="2">
        <v>0.17299999999999999</v>
      </c>
      <c r="P2" s="2">
        <v>828</v>
      </c>
      <c r="Q2" s="2">
        <v>1573</v>
      </c>
      <c r="R2" s="2">
        <v>0.52600000000000002</v>
      </c>
      <c r="S2" s="2">
        <v>0.51800000000000002</v>
      </c>
      <c r="T2" s="2">
        <v>630</v>
      </c>
      <c r="U2" s="2">
        <v>746</v>
      </c>
      <c r="V2" s="2">
        <v>0.84499999999999997</v>
      </c>
      <c r="W2" s="2">
        <v>167</v>
      </c>
      <c r="X2" s="2">
        <v>367</v>
      </c>
      <c r="Y2" s="2">
        <v>534</v>
      </c>
      <c r="Z2" s="2">
        <v>481</v>
      </c>
      <c r="AA2" s="2">
        <v>196</v>
      </c>
      <c r="AB2" s="2">
        <v>69</v>
      </c>
      <c r="AC2" s="2">
        <v>291</v>
      </c>
      <c r="AD2" s="2">
        <v>285</v>
      </c>
      <c r="AE2" s="2">
        <v>2313</v>
      </c>
      <c r="AF2" s="2">
        <v>209041</v>
      </c>
      <c r="AG2" s="2">
        <v>10019</v>
      </c>
      <c r="AH2" s="2">
        <v>49515</v>
      </c>
      <c r="AI2" s="2">
        <v>16122</v>
      </c>
      <c r="AJ2" s="2">
        <v>82008</v>
      </c>
      <c r="AK2" s="7">
        <f>AE2/AF2</f>
        <v>1.1064815036284748E-2</v>
      </c>
      <c r="AL2" s="7">
        <f>AB2/AG2</f>
        <v>6.8869148617626509E-3</v>
      </c>
      <c r="AM2" s="7">
        <f>Z2/AH2</f>
        <v>9.7142280117136215E-3</v>
      </c>
      <c r="AN2" s="7">
        <f>AA2/AI2</f>
        <v>1.2157300583054212E-2</v>
      </c>
      <c r="AO2" s="7">
        <f>Y2/AG2</f>
        <v>5.3298732408423997E-2</v>
      </c>
    </row>
    <row r="3" spans="1:42" x14ac:dyDescent="0.25">
      <c r="A3" t="s">
        <v>64</v>
      </c>
      <c r="B3" s="1" t="s">
        <v>56</v>
      </c>
      <c r="C3" s="2">
        <v>23</v>
      </c>
      <c r="D3" s="2" t="s">
        <v>46</v>
      </c>
      <c r="E3" s="2" t="s">
        <v>32</v>
      </c>
      <c r="F3" s="2" t="s">
        <v>33</v>
      </c>
      <c r="G3" s="2">
        <v>82</v>
      </c>
      <c r="H3" s="2">
        <v>82</v>
      </c>
      <c r="I3" s="2">
        <v>3281</v>
      </c>
      <c r="J3" s="2">
        <v>1098</v>
      </c>
      <c r="K3" s="2">
        <v>2279</v>
      </c>
      <c r="L3" s="2">
        <v>0.48199999999999998</v>
      </c>
      <c r="M3" s="2">
        <v>12</v>
      </c>
      <c r="N3" s="2">
        <v>66</v>
      </c>
      <c r="O3" s="2">
        <v>0.182</v>
      </c>
      <c r="P3" s="2">
        <v>1086</v>
      </c>
      <c r="Q3" s="2">
        <v>2213</v>
      </c>
      <c r="R3" s="2">
        <v>0.49099999999999999</v>
      </c>
      <c r="S3" s="2">
        <v>0.48399999999999999</v>
      </c>
      <c r="T3" s="2">
        <v>833</v>
      </c>
      <c r="U3" s="2">
        <v>972</v>
      </c>
      <c r="V3" s="2">
        <v>0.85699999999999998</v>
      </c>
      <c r="W3" s="2">
        <v>166</v>
      </c>
      <c r="X3" s="2">
        <v>264</v>
      </c>
      <c r="Y3" s="2">
        <v>430</v>
      </c>
      <c r="Z3" s="2">
        <v>377</v>
      </c>
      <c r="AA3" s="2">
        <v>236</v>
      </c>
      <c r="AB3" s="2">
        <v>125</v>
      </c>
      <c r="AC3" s="2">
        <v>272</v>
      </c>
      <c r="AD3" s="2">
        <v>237</v>
      </c>
      <c r="AE3" s="2">
        <v>3041</v>
      </c>
      <c r="AF3" s="2">
        <v>207338</v>
      </c>
      <c r="AG3" s="2">
        <v>10411</v>
      </c>
      <c r="AH3" s="2">
        <v>48998</v>
      </c>
      <c r="AI3" s="2">
        <v>16264</v>
      </c>
      <c r="AJ3" s="2">
        <v>83020</v>
      </c>
      <c r="AK3" s="7">
        <f t="shared" ref="AK3:AK23" si="0">AE3/AF3</f>
        <v>1.4666872449816242E-2</v>
      </c>
      <c r="AL3" s="7">
        <f t="shared" ref="AL3:AL23" si="1">AB3/AG3</f>
        <v>1.2006531553164921E-2</v>
      </c>
      <c r="AM3" s="7">
        <f t="shared" ref="AM3:AM23" si="2">Z3/AH3</f>
        <v>7.694191599657129E-3</v>
      </c>
      <c r="AN3" s="7">
        <f t="shared" ref="AN3:AN23" si="3">AA3/AI3</f>
        <v>1.4510575504181012E-2</v>
      </c>
      <c r="AO3" s="7">
        <f t="shared" ref="AO3:AO23" si="4">Y3/AG3</f>
        <v>4.1302468542887327E-2</v>
      </c>
    </row>
    <row r="4" spans="1:42" x14ac:dyDescent="0.25">
      <c r="A4" t="s">
        <v>64</v>
      </c>
      <c r="B4" s="1" t="s">
        <v>55</v>
      </c>
      <c r="C4" s="2">
        <v>24</v>
      </c>
      <c r="D4" s="2" t="s">
        <v>46</v>
      </c>
      <c r="E4" s="2" t="s">
        <v>32</v>
      </c>
      <c r="F4" s="2" t="s">
        <v>33</v>
      </c>
      <c r="G4" s="2">
        <v>82</v>
      </c>
      <c r="H4" s="2">
        <v>82</v>
      </c>
      <c r="I4" s="2">
        <v>3311</v>
      </c>
      <c r="J4" s="2">
        <v>1069</v>
      </c>
      <c r="K4" s="2">
        <v>1998</v>
      </c>
      <c r="L4" s="2">
        <v>0.53500000000000003</v>
      </c>
      <c r="M4" s="2">
        <v>7</v>
      </c>
      <c r="N4" s="2">
        <v>53</v>
      </c>
      <c r="O4" s="2">
        <v>0.13200000000000001</v>
      </c>
      <c r="P4" s="2">
        <v>1062</v>
      </c>
      <c r="Q4" s="2">
        <v>1945</v>
      </c>
      <c r="R4" s="2">
        <v>0.54600000000000004</v>
      </c>
      <c r="S4" s="2">
        <v>0.53700000000000003</v>
      </c>
      <c r="T4" s="2">
        <v>723</v>
      </c>
      <c r="U4" s="2">
        <v>860</v>
      </c>
      <c r="V4" s="2">
        <v>0.84099999999999997</v>
      </c>
      <c r="W4" s="2">
        <v>139</v>
      </c>
      <c r="X4" s="2">
        <v>310</v>
      </c>
      <c r="Y4" s="2">
        <v>449</v>
      </c>
      <c r="Z4" s="2">
        <v>485</v>
      </c>
      <c r="AA4" s="2">
        <v>259</v>
      </c>
      <c r="AB4" s="2">
        <v>131</v>
      </c>
      <c r="AC4" s="2">
        <v>252</v>
      </c>
      <c r="AD4" s="2">
        <v>270</v>
      </c>
      <c r="AE4" s="2">
        <v>2868</v>
      </c>
      <c r="AF4" s="2">
        <v>203993</v>
      </c>
      <c r="AG4" s="2">
        <v>10160</v>
      </c>
      <c r="AH4" s="2">
        <v>48599</v>
      </c>
      <c r="AI4" s="2">
        <v>16055</v>
      </c>
      <c r="AJ4" s="2">
        <v>81828</v>
      </c>
      <c r="AK4" s="7">
        <f t="shared" si="0"/>
        <v>1.4059305956576942E-2</v>
      </c>
      <c r="AL4" s="7">
        <f t="shared" si="1"/>
        <v>1.2893700787401575E-2</v>
      </c>
      <c r="AM4" s="7">
        <f t="shared" si="2"/>
        <v>9.9796292104775818E-3</v>
      </c>
      <c r="AN4" s="7">
        <f t="shared" si="3"/>
        <v>1.613204609156026E-2</v>
      </c>
      <c r="AO4" s="7">
        <f t="shared" si="4"/>
        <v>4.4192913385826774E-2</v>
      </c>
    </row>
    <row r="5" spans="1:42" x14ac:dyDescent="0.25">
      <c r="A5" t="s">
        <v>64</v>
      </c>
      <c r="B5" s="1" t="s">
        <v>54</v>
      </c>
      <c r="C5" s="2">
        <v>25</v>
      </c>
      <c r="D5" s="2" t="s">
        <v>46</v>
      </c>
      <c r="E5" s="2" t="s">
        <v>32</v>
      </c>
      <c r="F5" s="2" t="s">
        <v>33</v>
      </c>
      <c r="G5" s="2">
        <v>81</v>
      </c>
      <c r="H5" s="2">
        <v>81</v>
      </c>
      <c r="I5" s="2">
        <v>3255</v>
      </c>
      <c r="J5" s="2">
        <v>966</v>
      </c>
      <c r="K5" s="2">
        <v>1795</v>
      </c>
      <c r="L5" s="2">
        <v>0.53800000000000003</v>
      </c>
      <c r="M5" s="2">
        <v>27</v>
      </c>
      <c r="N5" s="2">
        <v>98</v>
      </c>
      <c r="O5" s="2">
        <v>0.27600000000000002</v>
      </c>
      <c r="P5" s="2">
        <v>939</v>
      </c>
      <c r="Q5" s="2">
        <v>1697</v>
      </c>
      <c r="R5" s="2">
        <v>0.55300000000000005</v>
      </c>
      <c r="S5" s="2">
        <v>0.54600000000000004</v>
      </c>
      <c r="T5" s="2">
        <v>674</v>
      </c>
      <c r="U5" s="2">
        <v>793</v>
      </c>
      <c r="V5" s="2">
        <v>0.85</v>
      </c>
      <c r="W5" s="2">
        <v>149</v>
      </c>
      <c r="X5" s="2">
        <v>503</v>
      </c>
      <c r="Y5" s="2">
        <v>652</v>
      </c>
      <c r="Z5" s="2">
        <v>650</v>
      </c>
      <c r="AA5" s="2">
        <v>234</v>
      </c>
      <c r="AB5" s="2">
        <v>65</v>
      </c>
      <c r="AC5" s="2">
        <v>290</v>
      </c>
      <c r="AD5" s="2">
        <v>247</v>
      </c>
      <c r="AE5" s="2">
        <v>2633</v>
      </c>
      <c r="AF5" s="2">
        <v>223797</v>
      </c>
      <c r="AG5" s="2">
        <v>10949</v>
      </c>
      <c r="AH5" s="2">
        <v>52431</v>
      </c>
      <c r="AI5" s="2">
        <v>18619</v>
      </c>
      <c r="AJ5" s="2">
        <v>90031</v>
      </c>
      <c r="AK5" s="7">
        <f t="shared" si="0"/>
        <v>1.1765126431542872E-2</v>
      </c>
      <c r="AL5" s="7">
        <f t="shared" si="1"/>
        <v>5.9366152160014616E-3</v>
      </c>
      <c r="AM5" s="7">
        <f t="shared" si="2"/>
        <v>1.239724590414068E-2</v>
      </c>
      <c r="AN5" s="7">
        <f t="shared" si="3"/>
        <v>1.2567807078790483E-2</v>
      </c>
      <c r="AO5" s="7">
        <f t="shared" si="4"/>
        <v>5.9548817243583886E-2</v>
      </c>
    </row>
    <row r="6" spans="1:42" x14ac:dyDescent="0.25">
      <c r="A6" t="s">
        <v>64</v>
      </c>
      <c r="B6" s="1" t="s">
        <v>53</v>
      </c>
      <c r="C6" s="2">
        <v>26</v>
      </c>
      <c r="D6" s="2" t="s">
        <v>46</v>
      </c>
      <c r="E6" s="2" t="s">
        <v>32</v>
      </c>
      <c r="F6" s="2" t="s">
        <v>33</v>
      </c>
      <c r="G6" s="2">
        <v>82</v>
      </c>
      <c r="H6" s="2">
        <v>82</v>
      </c>
      <c r="I6" s="2">
        <v>3197</v>
      </c>
      <c r="J6" s="2">
        <v>1034</v>
      </c>
      <c r="K6" s="2">
        <v>1964</v>
      </c>
      <c r="L6" s="2">
        <v>0.52600000000000002</v>
      </c>
      <c r="M6" s="2">
        <v>92</v>
      </c>
      <c r="N6" s="2">
        <v>245</v>
      </c>
      <c r="O6" s="2">
        <v>0.376</v>
      </c>
      <c r="P6" s="2">
        <v>942</v>
      </c>
      <c r="Q6" s="2">
        <v>1719</v>
      </c>
      <c r="R6" s="2">
        <v>0.54800000000000004</v>
      </c>
      <c r="S6" s="2">
        <v>0.55000000000000004</v>
      </c>
      <c r="T6" s="2">
        <v>593</v>
      </c>
      <c r="U6" s="2">
        <v>699</v>
      </c>
      <c r="V6" s="2">
        <v>0.84799999999999998</v>
      </c>
      <c r="W6" s="2">
        <v>143</v>
      </c>
      <c r="X6" s="2">
        <v>422</v>
      </c>
      <c r="Y6" s="2">
        <v>565</v>
      </c>
      <c r="Z6" s="2">
        <v>519</v>
      </c>
      <c r="AA6" s="2">
        <v>227</v>
      </c>
      <c r="AB6" s="2">
        <v>54</v>
      </c>
      <c r="AC6" s="2">
        <v>247</v>
      </c>
      <c r="AD6" s="2">
        <v>241</v>
      </c>
      <c r="AE6" s="2">
        <v>2753</v>
      </c>
      <c r="AF6" s="2">
        <v>236882</v>
      </c>
      <c r="AG6" s="2">
        <v>11207</v>
      </c>
      <c r="AH6" s="2">
        <v>55023</v>
      </c>
      <c r="AI6" s="2">
        <v>18881</v>
      </c>
      <c r="AJ6" s="2">
        <v>99056</v>
      </c>
      <c r="AK6" s="7">
        <f t="shared" si="0"/>
        <v>1.1621820146739728E-2</v>
      </c>
      <c r="AL6" s="7">
        <f t="shared" si="1"/>
        <v>4.8184170607655933E-3</v>
      </c>
      <c r="AM6" s="7">
        <f t="shared" si="2"/>
        <v>9.432419170165204E-3</v>
      </c>
      <c r="AN6" s="7">
        <f t="shared" si="3"/>
        <v>1.2022668290874424E-2</v>
      </c>
      <c r="AO6" s="7">
        <f t="shared" si="4"/>
        <v>5.041491924689926E-2</v>
      </c>
    </row>
    <row r="7" spans="1:42" x14ac:dyDescent="0.25">
      <c r="A7" t="s">
        <v>64</v>
      </c>
      <c r="B7" s="1" t="s">
        <v>52</v>
      </c>
      <c r="C7" s="2">
        <v>27</v>
      </c>
      <c r="D7" s="2" t="s">
        <v>46</v>
      </c>
      <c r="E7" s="2" t="s">
        <v>32</v>
      </c>
      <c r="F7" s="2" t="s">
        <v>33</v>
      </c>
      <c r="G7" s="2">
        <v>82</v>
      </c>
      <c r="H7" s="2">
        <v>82</v>
      </c>
      <c r="I7" s="2">
        <v>3034</v>
      </c>
      <c r="J7" s="2">
        <v>990</v>
      </c>
      <c r="K7" s="2">
        <v>1837</v>
      </c>
      <c r="L7" s="2">
        <v>0.53900000000000003</v>
      </c>
      <c r="M7" s="2">
        <v>29</v>
      </c>
      <c r="N7" s="2">
        <v>93</v>
      </c>
      <c r="O7" s="2">
        <v>0.312</v>
      </c>
      <c r="P7" s="2">
        <v>961</v>
      </c>
      <c r="Q7" s="2">
        <v>1744</v>
      </c>
      <c r="R7" s="2">
        <v>0.55100000000000005</v>
      </c>
      <c r="S7" s="2">
        <v>0.54700000000000004</v>
      </c>
      <c r="T7" s="2">
        <v>571</v>
      </c>
      <c r="U7" s="2">
        <v>671</v>
      </c>
      <c r="V7" s="2">
        <v>0.85099999999999998</v>
      </c>
      <c r="W7" s="2">
        <v>118</v>
      </c>
      <c r="X7" s="2">
        <v>374</v>
      </c>
      <c r="Y7" s="2">
        <v>492</v>
      </c>
      <c r="Z7" s="2">
        <v>453</v>
      </c>
      <c r="AA7" s="2">
        <v>223</v>
      </c>
      <c r="AB7" s="2">
        <v>83</v>
      </c>
      <c r="AC7" s="2">
        <v>202</v>
      </c>
      <c r="AD7" s="2">
        <v>229</v>
      </c>
      <c r="AE7" s="2">
        <v>2580</v>
      </c>
      <c r="AF7" s="2">
        <v>235370</v>
      </c>
      <c r="AG7" s="2">
        <v>11624</v>
      </c>
      <c r="AH7" s="2">
        <v>54782</v>
      </c>
      <c r="AI7" s="2">
        <v>19014</v>
      </c>
      <c r="AJ7" s="2">
        <v>95776</v>
      </c>
      <c r="AK7" s="7">
        <f t="shared" si="0"/>
        <v>1.0961464927560862E-2</v>
      </c>
      <c r="AL7" s="7">
        <f t="shared" si="1"/>
        <v>7.140399174122505E-3</v>
      </c>
      <c r="AM7" s="7">
        <f t="shared" si="2"/>
        <v>8.2691394983753792E-3</v>
      </c>
      <c r="AN7" s="7">
        <f t="shared" si="3"/>
        <v>1.1728200273482698E-2</v>
      </c>
      <c r="AO7" s="7">
        <f t="shared" si="4"/>
        <v>4.2326221610461116E-2</v>
      </c>
    </row>
    <row r="8" spans="1:42" x14ac:dyDescent="0.25">
      <c r="A8" t="s">
        <v>64</v>
      </c>
      <c r="B8" s="1" t="s">
        <v>51</v>
      </c>
      <c r="C8" s="2">
        <v>28</v>
      </c>
      <c r="D8" s="2" t="s">
        <v>46</v>
      </c>
      <c r="E8" s="2" t="s">
        <v>32</v>
      </c>
      <c r="F8" s="2" t="s">
        <v>33</v>
      </c>
      <c r="G8" s="2">
        <v>80</v>
      </c>
      <c r="H8" s="2">
        <v>80</v>
      </c>
      <c r="I8" s="2">
        <v>3102</v>
      </c>
      <c r="J8" s="2">
        <v>943</v>
      </c>
      <c r="K8" s="2">
        <v>1818</v>
      </c>
      <c r="L8" s="2">
        <v>0.51900000000000002</v>
      </c>
      <c r="M8" s="2">
        <v>27</v>
      </c>
      <c r="N8" s="2">
        <v>100</v>
      </c>
      <c r="O8" s="2">
        <v>0.27</v>
      </c>
      <c r="P8" s="2">
        <v>916</v>
      </c>
      <c r="Q8" s="2">
        <v>1718</v>
      </c>
      <c r="R8" s="2">
        <v>0.53300000000000003</v>
      </c>
      <c r="S8" s="2">
        <v>0.52600000000000002</v>
      </c>
      <c r="T8" s="2">
        <v>491</v>
      </c>
      <c r="U8" s="2">
        <v>590</v>
      </c>
      <c r="V8" s="2">
        <v>0.83199999999999996</v>
      </c>
      <c r="W8" s="2">
        <v>91</v>
      </c>
      <c r="X8" s="2">
        <v>420</v>
      </c>
      <c r="Y8" s="2">
        <v>511</v>
      </c>
      <c r="Z8" s="2">
        <v>489</v>
      </c>
      <c r="AA8" s="2">
        <v>182</v>
      </c>
      <c r="AB8" s="2">
        <v>75</v>
      </c>
      <c r="AC8" s="2">
        <v>200</v>
      </c>
      <c r="AD8" s="2">
        <v>201</v>
      </c>
      <c r="AE8" s="2">
        <v>2404</v>
      </c>
      <c r="AF8" s="2">
        <v>233155</v>
      </c>
      <c r="AG8" s="2">
        <v>12216</v>
      </c>
      <c r="AH8" s="2">
        <v>54192</v>
      </c>
      <c r="AI8" s="2">
        <v>19131</v>
      </c>
      <c r="AJ8" s="2">
        <v>96680</v>
      </c>
      <c r="AK8" s="7">
        <f t="shared" si="0"/>
        <v>1.0310737492226201E-2</v>
      </c>
      <c r="AL8" s="7">
        <f t="shared" si="1"/>
        <v>6.1394891944990173E-3</v>
      </c>
      <c r="AM8" s="7">
        <f t="shared" si="2"/>
        <v>9.0234720992028346E-3</v>
      </c>
      <c r="AN8" s="7">
        <f t="shared" si="3"/>
        <v>9.5133552872301505E-3</v>
      </c>
      <c r="AO8" s="7">
        <f t="shared" si="4"/>
        <v>4.1830386378519976E-2</v>
      </c>
    </row>
    <row r="9" spans="1:42" x14ac:dyDescent="0.25">
      <c r="A9" t="s">
        <v>64</v>
      </c>
      <c r="B9" s="1" t="s">
        <v>50</v>
      </c>
      <c r="C9" s="2">
        <v>29</v>
      </c>
      <c r="D9" s="2" t="s">
        <v>46</v>
      </c>
      <c r="E9" s="2" t="s">
        <v>32</v>
      </c>
      <c r="F9" s="2" t="s">
        <v>33</v>
      </c>
      <c r="G9" s="2">
        <v>78</v>
      </c>
      <c r="H9" s="2">
        <v>78</v>
      </c>
      <c r="I9" s="2">
        <v>3067</v>
      </c>
      <c r="J9" s="2">
        <v>992</v>
      </c>
      <c r="K9" s="2">
        <v>2003</v>
      </c>
      <c r="L9" s="2">
        <v>0.495</v>
      </c>
      <c r="M9" s="2">
        <v>81</v>
      </c>
      <c r="N9" s="2">
        <v>230</v>
      </c>
      <c r="O9" s="2">
        <v>0.35199999999999998</v>
      </c>
      <c r="P9" s="2">
        <v>911</v>
      </c>
      <c r="Q9" s="2">
        <v>1773</v>
      </c>
      <c r="R9" s="2">
        <v>0.51400000000000001</v>
      </c>
      <c r="S9" s="2">
        <v>0.51500000000000001</v>
      </c>
      <c r="T9" s="2">
        <v>476</v>
      </c>
      <c r="U9" s="2">
        <v>569</v>
      </c>
      <c r="V9" s="2">
        <v>0.83699999999999997</v>
      </c>
      <c r="W9" s="2">
        <v>135</v>
      </c>
      <c r="X9" s="2">
        <v>387</v>
      </c>
      <c r="Y9" s="2">
        <v>522</v>
      </c>
      <c r="Z9" s="2">
        <v>428</v>
      </c>
      <c r="AA9" s="2">
        <v>221</v>
      </c>
      <c r="AB9" s="2">
        <v>61</v>
      </c>
      <c r="AC9" s="2">
        <v>207</v>
      </c>
      <c r="AD9" s="2">
        <v>188</v>
      </c>
      <c r="AE9" s="2">
        <v>2541</v>
      </c>
      <c r="AF9" s="2">
        <v>233073</v>
      </c>
      <c r="AG9" s="2">
        <v>11558</v>
      </c>
      <c r="AH9" s="2">
        <v>54705</v>
      </c>
      <c r="AI9" s="2">
        <v>18932</v>
      </c>
      <c r="AJ9" s="2">
        <v>95504</v>
      </c>
      <c r="AK9" s="7">
        <f t="shared" si="0"/>
        <v>1.0902163699785045E-2</v>
      </c>
      <c r="AL9" s="7">
        <f t="shared" si="1"/>
        <v>5.2777297110226679E-3</v>
      </c>
      <c r="AM9" s="7">
        <f t="shared" si="2"/>
        <v>7.8237821040124302E-3</v>
      </c>
      <c r="AN9" s="7">
        <f t="shared" si="3"/>
        <v>1.1673357278681597E-2</v>
      </c>
      <c r="AO9" s="7">
        <f t="shared" si="4"/>
        <v>4.5163523100882508E-2</v>
      </c>
    </row>
    <row r="10" spans="1:42" x14ac:dyDescent="0.25">
      <c r="A10" t="s">
        <v>64</v>
      </c>
      <c r="B10" s="1" t="s">
        <v>49</v>
      </c>
      <c r="C10" s="2">
        <v>32</v>
      </c>
      <c r="D10" s="2" t="s">
        <v>46</v>
      </c>
      <c r="E10" s="2" t="s">
        <v>32</v>
      </c>
      <c r="F10" s="2" t="s">
        <v>33</v>
      </c>
      <c r="G10" s="2">
        <v>82</v>
      </c>
      <c r="H10" s="2">
        <v>82</v>
      </c>
      <c r="I10" s="2">
        <v>3090</v>
      </c>
      <c r="J10" s="2">
        <v>916</v>
      </c>
      <c r="K10" s="2">
        <v>1850</v>
      </c>
      <c r="L10" s="2">
        <v>0.495</v>
      </c>
      <c r="M10" s="2">
        <v>111</v>
      </c>
      <c r="N10" s="2">
        <v>260</v>
      </c>
      <c r="O10" s="2">
        <v>0.42699999999999999</v>
      </c>
      <c r="P10" s="2">
        <v>805</v>
      </c>
      <c r="Q10" s="2">
        <v>1590</v>
      </c>
      <c r="R10" s="2">
        <v>0.50600000000000001</v>
      </c>
      <c r="S10" s="2">
        <v>0.52500000000000002</v>
      </c>
      <c r="T10" s="2">
        <v>548</v>
      </c>
      <c r="U10" s="2">
        <v>657</v>
      </c>
      <c r="V10" s="2">
        <v>0.83399999999999996</v>
      </c>
      <c r="W10" s="2">
        <v>148</v>
      </c>
      <c r="X10" s="2">
        <v>395</v>
      </c>
      <c r="Y10" s="2">
        <v>543</v>
      </c>
      <c r="Z10" s="2">
        <v>352</v>
      </c>
      <c r="AA10" s="2">
        <v>180</v>
      </c>
      <c r="AB10" s="2">
        <v>42</v>
      </c>
      <c r="AC10" s="2">
        <v>197</v>
      </c>
      <c r="AD10" s="2">
        <v>195</v>
      </c>
      <c r="AE10" s="2">
        <v>2491</v>
      </c>
      <c r="AF10" s="2">
        <v>236619</v>
      </c>
      <c r="AG10" s="2">
        <v>12038</v>
      </c>
      <c r="AH10" s="2">
        <v>53950</v>
      </c>
      <c r="AI10" s="2">
        <v>18952</v>
      </c>
      <c r="AJ10" s="2">
        <v>98099</v>
      </c>
      <c r="AK10" s="7">
        <f t="shared" si="0"/>
        <v>1.0527472434588939E-2</v>
      </c>
      <c r="AL10" s="7">
        <f t="shared" si="1"/>
        <v>3.4889516530985216E-3</v>
      </c>
      <c r="AM10" s="7">
        <f t="shared" si="2"/>
        <v>6.5245597775718256E-3</v>
      </c>
      <c r="AN10" s="7">
        <f t="shared" si="3"/>
        <v>9.4976783452933727E-3</v>
      </c>
      <c r="AO10" s="7">
        <f t="shared" si="4"/>
        <v>4.5107160657916597E-2</v>
      </c>
    </row>
    <row r="11" spans="1:42" x14ac:dyDescent="0.25">
      <c r="A11" t="s">
        <v>64</v>
      </c>
      <c r="B11" s="1" t="s">
        <v>48</v>
      </c>
      <c r="C11" s="2">
        <v>33</v>
      </c>
      <c r="D11" s="2" t="s">
        <v>46</v>
      </c>
      <c r="E11" s="2" t="s">
        <v>32</v>
      </c>
      <c r="F11" s="2" t="s">
        <v>33</v>
      </c>
      <c r="G11" s="2">
        <v>82</v>
      </c>
      <c r="H11" s="2">
        <v>82</v>
      </c>
      <c r="I11" s="2">
        <v>3106</v>
      </c>
      <c r="J11" s="2">
        <v>920</v>
      </c>
      <c r="K11" s="2">
        <v>1892</v>
      </c>
      <c r="L11" s="2">
        <v>0.48599999999999999</v>
      </c>
      <c r="M11" s="2">
        <v>111</v>
      </c>
      <c r="N11" s="2">
        <v>297</v>
      </c>
      <c r="O11" s="2">
        <v>0.374</v>
      </c>
      <c r="P11" s="2">
        <v>809</v>
      </c>
      <c r="Q11" s="2">
        <v>1595</v>
      </c>
      <c r="R11" s="2">
        <v>0.50700000000000001</v>
      </c>
      <c r="S11" s="2">
        <v>0.51600000000000001</v>
      </c>
      <c r="T11" s="2">
        <v>480</v>
      </c>
      <c r="U11" s="2">
        <v>576</v>
      </c>
      <c r="V11" s="2">
        <v>0.83299999999999996</v>
      </c>
      <c r="W11" s="2">
        <v>113</v>
      </c>
      <c r="X11" s="2">
        <v>369</v>
      </c>
      <c r="Y11" s="2">
        <v>482</v>
      </c>
      <c r="Z11" s="2">
        <v>352</v>
      </c>
      <c r="AA11" s="2">
        <v>140</v>
      </c>
      <c r="AB11" s="2">
        <v>44</v>
      </c>
      <c r="AC11" s="2">
        <v>166</v>
      </c>
      <c r="AD11" s="2">
        <v>156</v>
      </c>
      <c r="AE11" s="2">
        <v>2431</v>
      </c>
      <c r="AF11" s="2">
        <v>230433</v>
      </c>
      <c r="AG11" s="2">
        <v>11674</v>
      </c>
      <c r="AH11" s="2">
        <v>52426</v>
      </c>
      <c r="AI11" s="2">
        <v>19486</v>
      </c>
      <c r="AJ11" s="2">
        <v>97703</v>
      </c>
      <c r="AK11" s="7">
        <f t="shared" si="0"/>
        <v>1.0549704252429123E-2</v>
      </c>
      <c r="AL11" s="7">
        <f t="shared" si="1"/>
        <v>3.7690594483467533E-3</v>
      </c>
      <c r="AM11" s="7">
        <f t="shared" si="2"/>
        <v>6.7142257658413763E-3</v>
      </c>
      <c r="AN11" s="7">
        <f t="shared" si="3"/>
        <v>7.1846453864312836E-3</v>
      </c>
      <c r="AO11" s="7">
        <f t="shared" si="4"/>
        <v>4.1288333047798526E-2</v>
      </c>
    </row>
    <row r="12" spans="1:42" x14ac:dyDescent="0.25">
      <c r="A12" t="s">
        <v>64</v>
      </c>
      <c r="B12" s="1" t="s">
        <v>47</v>
      </c>
      <c r="C12" s="2">
        <v>34</v>
      </c>
      <c r="D12" s="2" t="s">
        <v>46</v>
      </c>
      <c r="E12" s="2" t="s">
        <v>32</v>
      </c>
      <c r="F12" s="2" t="s">
        <v>33</v>
      </c>
      <c r="G12" s="2">
        <v>82</v>
      </c>
      <c r="H12" s="2">
        <v>82</v>
      </c>
      <c r="I12" s="2">
        <v>3181</v>
      </c>
      <c r="J12" s="2">
        <v>881</v>
      </c>
      <c r="K12" s="2">
        <v>1893</v>
      </c>
      <c r="L12" s="2">
        <v>0.46500000000000002</v>
      </c>
      <c r="M12" s="2">
        <v>30</v>
      </c>
      <c r="N12" s="2">
        <v>126</v>
      </c>
      <c r="O12" s="2">
        <v>0.23799999999999999</v>
      </c>
      <c r="P12" s="2">
        <v>851</v>
      </c>
      <c r="Q12" s="2">
        <v>1767</v>
      </c>
      <c r="R12" s="2">
        <v>0.48199999999999998</v>
      </c>
      <c r="S12" s="2">
        <v>0.47299999999999998</v>
      </c>
      <c r="T12" s="2">
        <v>565</v>
      </c>
      <c r="U12" s="2">
        <v>721</v>
      </c>
      <c r="V12" s="2">
        <v>0.78400000000000003</v>
      </c>
      <c r="W12" s="2">
        <v>130</v>
      </c>
      <c r="X12" s="2">
        <v>345</v>
      </c>
      <c r="Y12" s="2">
        <v>475</v>
      </c>
      <c r="Z12" s="2">
        <v>283</v>
      </c>
      <c r="AA12" s="2">
        <v>141</v>
      </c>
      <c r="AB12" s="2">
        <v>45</v>
      </c>
      <c r="AC12" s="2">
        <v>185</v>
      </c>
      <c r="AD12" s="2">
        <v>151</v>
      </c>
      <c r="AE12" s="2">
        <v>2357</v>
      </c>
      <c r="AF12" s="2">
        <v>227269</v>
      </c>
      <c r="AG12" s="2">
        <v>12062</v>
      </c>
      <c r="AH12" s="2">
        <v>52386</v>
      </c>
      <c r="AI12" s="2">
        <v>19943</v>
      </c>
      <c r="AJ12" s="2">
        <v>98798</v>
      </c>
      <c r="AK12" s="7">
        <f t="shared" si="0"/>
        <v>1.0370970083909376E-2</v>
      </c>
      <c r="AL12" s="7">
        <f t="shared" si="1"/>
        <v>3.7307245896202952E-3</v>
      </c>
      <c r="AM12" s="7">
        <f t="shared" si="2"/>
        <v>5.4022066964456153E-3</v>
      </c>
      <c r="AN12" s="7">
        <f t="shared" si="3"/>
        <v>7.0701499272927846E-3</v>
      </c>
      <c r="AO12" s="7">
        <f t="shared" si="4"/>
        <v>3.9379870668214224E-2</v>
      </c>
    </row>
    <row r="13" spans="1:42" x14ac:dyDescent="0.25">
      <c r="A13" t="s">
        <v>65</v>
      </c>
      <c r="B13" s="1" t="s">
        <v>30</v>
      </c>
      <c r="C13" s="2">
        <v>19</v>
      </c>
      <c r="D13" s="2" t="s">
        <v>31</v>
      </c>
      <c r="E13" s="2" t="s">
        <v>32</v>
      </c>
      <c r="F13" s="2" t="s">
        <v>33</v>
      </c>
      <c r="G13" s="2">
        <v>79</v>
      </c>
      <c r="H13" s="2">
        <v>79</v>
      </c>
      <c r="I13" s="2">
        <v>3122</v>
      </c>
      <c r="J13" s="2">
        <v>622</v>
      </c>
      <c r="K13" s="2">
        <v>1492</v>
      </c>
      <c r="L13" s="2">
        <v>0.41699999999999998</v>
      </c>
      <c r="M13" s="2">
        <v>63</v>
      </c>
      <c r="N13" s="2">
        <v>217</v>
      </c>
      <c r="O13" s="2">
        <v>0.28999999999999998</v>
      </c>
      <c r="P13" s="2">
        <v>559</v>
      </c>
      <c r="Q13" s="2">
        <v>1275</v>
      </c>
      <c r="R13" s="2">
        <v>0.438</v>
      </c>
      <c r="S13" s="2">
        <v>0.438</v>
      </c>
      <c r="T13" s="2">
        <v>347</v>
      </c>
      <c r="U13" s="2">
        <v>460</v>
      </c>
      <c r="V13" s="2">
        <v>0.754</v>
      </c>
      <c r="W13" s="2">
        <v>99</v>
      </c>
      <c r="X13" s="2">
        <v>333</v>
      </c>
      <c r="Y13" s="2">
        <v>432</v>
      </c>
      <c r="Z13" s="2">
        <v>465</v>
      </c>
      <c r="AA13" s="2">
        <v>130</v>
      </c>
      <c r="AB13" s="2">
        <v>58</v>
      </c>
      <c r="AC13" s="2">
        <v>273</v>
      </c>
      <c r="AD13" s="2">
        <v>149</v>
      </c>
      <c r="AE13" s="2">
        <v>1654</v>
      </c>
      <c r="AF13" s="2">
        <v>222097</v>
      </c>
      <c r="AG13" s="2">
        <v>12022</v>
      </c>
      <c r="AH13" s="2">
        <v>50658</v>
      </c>
      <c r="AI13" s="2">
        <v>18864</v>
      </c>
      <c r="AJ13" s="2">
        <v>100361</v>
      </c>
      <c r="AK13" s="7">
        <f t="shared" si="0"/>
        <v>7.4471964952250594E-3</v>
      </c>
      <c r="AL13" s="7">
        <f t="shared" si="1"/>
        <v>4.8244884378639162E-3</v>
      </c>
      <c r="AM13" s="7">
        <f t="shared" si="2"/>
        <v>9.1792017055548972E-3</v>
      </c>
      <c r="AN13" s="7">
        <f t="shared" si="3"/>
        <v>6.8914334181509754E-3</v>
      </c>
      <c r="AO13" s="7">
        <f t="shared" si="4"/>
        <v>3.5934120778572616E-2</v>
      </c>
    </row>
    <row r="14" spans="1:42" x14ac:dyDescent="0.25">
      <c r="A14" t="s">
        <v>65</v>
      </c>
      <c r="B14" s="1" t="s">
        <v>34</v>
      </c>
      <c r="C14" s="2">
        <v>20</v>
      </c>
      <c r="D14" s="2" t="s">
        <v>31</v>
      </c>
      <c r="E14" s="2" t="s">
        <v>32</v>
      </c>
      <c r="F14" s="2" t="s">
        <v>35</v>
      </c>
      <c r="G14" s="2">
        <v>80</v>
      </c>
      <c r="H14" s="2">
        <v>80</v>
      </c>
      <c r="I14" s="2">
        <v>3388</v>
      </c>
      <c r="J14" s="2">
        <v>795</v>
      </c>
      <c r="K14" s="2">
        <v>1684</v>
      </c>
      <c r="L14" s="2">
        <v>0.47199999999999998</v>
      </c>
      <c r="M14" s="2">
        <v>108</v>
      </c>
      <c r="N14" s="2">
        <v>308</v>
      </c>
      <c r="O14" s="2">
        <v>0.35099999999999998</v>
      </c>
      <c r="P14" s="2">
        <v>687</v>
      </c>
      <c r="Q14" s="2">
        <v>1376</v>
      </c>
      <c r="R14" s="2">
        <v>0.499</v>
      </c>
      <c r="S14" s="2">
        <v>0.504</v>
      </c>
      <c r="T14" s="2">
        <v>477</v>
      </c>
      <c r="U14" s="2">
        <v>636</v>
      </c>
      <c r="V14" s="2">
        <v>0.75</v>
      </c>
      <c r="W14" s="2">
        <v>111</v>
      </c>
      <c r="X14" s="2">
        <v>477</v>
      </c>
      <c r="Y14" s="2">
        <v>588</v>
      </c>
      <c r="Z14" s="2">
        <v>577</v>
      </c>
      <c r="AA14" s="2">
        <v>177</v>
      </c>
      <c r="AB14" s="2">
        <v>52</v>
      </c>
      <c r="AC14" s="2">
        <v>262</v>
      </c>
      <c r="AD14" s="2">
        <v>146</v>
      </c>
      <c r="AE14" s="2">
        <v>2175</v>
      </c>
      <c r="AF14" s="2">
        <v>239109</v>
      </c>
      <c r="AG14" s="2">
        <v>11963</v>
      </c>
      <c r="AH14" s="2">
        <v>52342</v>
      </c>
      <c r="AI14" s="2">
        <v>18489</v>
      </c>
      <c r="AJ14" s="2">
        <v>102970</v>
      </c>
      <c r="AK14" s="7">
        <f t="shared" si="0"/>
        <v>9.0962699020112163E-3</v>
      </c>
      <c r="AL14" s="7">
        <f t="shared" si="1"/>
        <v>4.3467357686199116E-3</v>
      </c>
      <c r="AM14" s="7">
        <f t="shared" si="2"/>
        <v>1.1023652134041497E-2</v>
      </c>
      <c r="AN14" s="7">
        <f t="shared" si="3"/>
        <v>9.5732597760830769E-3</v>
      </c>
      <c r="AO14" s="7">
        <f t="shared" si="4"/>
        <v>4.9151550614394385E-2</v>
      </c>
    </row>
    <row r="15" spans="1:42" x14ac:dyDescent="0.25">
      <c r="A15" t="s">
        <v>65</v>
      </c>
      <c r="B15" s="1" t="s">
        <v>36</v>
      </c>
      <c r="C15" s="2">
        <v>21</v>
      </c>
      <c r="D15" s="2" t="s">
        <v>31</v>
      </c>
      <c r="E15" s="2" t="s">
        <v>32</v>
      </c>
      <c r="F15" s="2" t="s">
        <v>35</v>
      </c>
      <c r="G15" s="2">
        <v>79</v>
      </c>
      <c r="H15" s="2">
        <v>79</v>
      </c>
      <c r="I15" s="2">
        <v>3361</v>
      </c>
      <c r="J15" s="2">
        <v>875</v>
      </c>
      <c r="K15" s="2">
        <v>1823</v>
      </c>
      <c r="L15" s="2">
        <v>0.48</v>
      </c>
      <c r="M15" s="2">
        <v>127</v>
      </c>
      <c r="N15" s="2">
        <v>379</v>
      </c>
      <c r="O15" s="2">
        <v>0.33500000000000002</v>
      </c>
      <c r="P15" s="2">
        <v>748</v>
      </c>
      <c r="Q15" s="2">
        <v>1444</v>
      </c>
      <c r="R15" s="2">
        <v>0.51800000000000002</v>
      </c>
      <c r="S15" s="2">
        <v>0.51500000000000001</v>
      </c>
      <c r="T15" s="2">
        <v>601</v>
      </c>
      <c r="U15" s="2">
        <v>814</v>
      </c>
      <c r="V15" s="2">
        <v>0.73799999999999999</v>
      </c>
      <c r="W15" s="2">
        <v>75</v>
      </c>
      <c r="X15" s="2">
        <v>481</v>
      </c>
      <c r="Y15" s="2">
        <v>556</v>
      </c>
      <c r="Z15" s="2">
        <v>521</v>
      </c>
      <c r="AA15" s="2">
        <v>123</v>
      </c>
      <c r="AB15" s="2">
        <v>66</v>
      </c>
      <c r="AC15" s="2">
        <v>260</v>
      </c>
      <c r="AD15" s="2">
        <v>181</v>
      </c>
      <c r="AE15" s="2">
        <v>2478</v>
      </c>
      <c r="AF15" s="2">
        <v>238641</v>
      </c>
      <c r="AG15" s="2">
        <v>11560</v>
      </c>
      <c r="AH15" s="2">
        <v>50711</v>
      </c>
      <c r="AI15" s="2">
        <v>17632</v>
      </c>
      <c r="AJ15" s="2">
        <v>100754</v>
      </c>
      <c r="AK15" s="7">
        <f t="shared" si="0"/>
        <v>1.0383798257633851E-2</v>
      </c>
      <c r="AL15" s="7">
        <f t="shared" si="1"/>
        <v>5.7093425605536331E-3</v>
      </c>
      <c r="AM15" s="7">
        <f t="shared" si="2"/>
        <v>1.0273905069905937E-2</v>
      </c>
      <c r="AN15" s="7">
        <f t="shared" si="3"/>
        <v>6.9759528130671506E-3</v>
      </c>
      <c r="AO15" s="7">
        <f t="shared" si="4"/>
        <v>4.809688581314879E-2</v>
      </c>
    </row>
    <row r="16" spans="1:42" x14ac:dyDescent="0.25">
      <c r="A16" t="s">
        <v>65</v>
      </c>
      <c r="B16" s="1" t="s">
        <v>37</v>
      </c>
      <c r="C16" s="2">
        <v>22</v>
      </c>
      <c r="D16" s="2" t="s">
        <v>31</v>
      </c>
      <c r="E16" s="2" t="s">
        <v>32</v>
      </c>
      <c r="F16" s="2" t="s">
        <v>35</v>
      </c>
      <c r="G16" s="2">
        <v>78</v>
      </c>
      <c r="H16" s="2">
        <v>78</v>
      </c>
      <c r="I16" s="2">
        <v>3190</v>
      </c>
      <c r="J16" s="2">
        <v>772</v>
      </c>
      <c r="K16" s="2">
        <v>1621</v>
      </c>
      <c r="L16" s="2">
        <v>0.47599999999999998</v>
      </c>
      <c r="M16" s="2">
        <v>99</v>
      </c>
      <c r="N16" s="2">
        <v>310</v>
      </c>
      <c r="O16" s="2">
        <v>0.31900000000000001</v>
      </c>
      <c r="P16" s="2">
        <v>673</v>
      </c>
      <c r="Q16" s="2">
        <v>1311</v>
      </c>
      <c r="R16" s="2">
        <v>0.51300000000000001</v>
      </c>
      <c r="S16" s="2">
        <v>0.50700000000000001</v>
      </c>
      <c r="T16" s="2">
        <v>489</v>
      </c>
      <c r="U16" s="2">
        <v>701</v>
      </c>
      <c r="V16" s="2">
        <v>0.69799999999999995</v>
      </c>
      <c r="W16" s="2">
        <v>83</v>
      </c>
      <c r="X16" s="2">
        <v>443</v>
      </c>
      <c r="Y16" s="2">
        <v>526</v>
      </c>
      <c r="Z16" s="2">
        <v>470</v>
      </c>
      <c r="AA16" s="2">
        <v>125</v>
      </c>
      <c r="AB16" s="2">
        <v>55</v>
      </c>
      <c r="AC16" s="2">
        <v>250</v>
      </c>
      <c r="AD16" s="2">
        <v>171</v>
      </c>
      <c r="AE16" s="2">
        <v>2132</v>
      </c>
      <c r="AF16" s="2">
        <v>242899</v>
      </c>
      <c r="AG16" s="2">
        <v>11329</v>
      </c>
      <c r="AH16" s="2">
        <v>52365</v>
      </c>
      <c r="AI16" s="2">
        <v>17807</v>
      </c>
      <c r="AJ16" s="2">
        <v>100994</v>
      </c>
      <c r="AK16" s="7">
        <f t="shared" si="0"/>
        <v>8.7773107340911247E-3</v>
      </c>
      <c r="AL16" s="7">
        <f t="shared" si="1"/>
        <v>4.854797422543914E-3</v>
      </c>
      <c r="AM16" s="7">
        <f t="shared" si="2"/>
        <v>8.9754607084884946E-3</v>
      </c>
      <c r="AN16" s="7">
        <f t="shared" si="3"/>
        <v>7.0197113494693099E-3</v>
      </c>
      <c r="AO16" s="7">
        <f t="shared" si="4"/>
        <v>4.6429517168329069E-2</v>
      </c>
    </row>
    <row r="17" spans="1:41" x14ac:dyDescent="0.25">
      <c r="A17" t="s">
        <v>65</v>
      </c>
      <c r="B17" s="1" t="s">
        <v>38</v>
      </c>
      <c r="C17" s="2">
        <v>23</v>
      </c>
      <c r="D17" s="2" t="s">
        <v>31</v>
      </c>
      <c r="E17" s="2" t="s">
        <v>32</v>
      </c>
      <c r="F17" s="2" t="s">
        <v>35</v>
      </c>
      <c r="G17" s="2">
        <v>75</v>
      </c>
      <c r="H17" s="2">
        <v>74</v>
      </c>
      <c r="I17" s="2">
        <v>3027</v>
      </c>
      <c r="J17" s="2">
        <v>794</v>
      </c>
      <c r="K17" s="2">
        <v>1642</v>
      </c>
      <c r="L17" s="2">
        <v>0.48399999999999999</v>
      </c>
      <c r="M17" s="2">
        <v>113</v>
      </c>
      <c r="N17" s="2">
        <v>359</v>
      </c>
      <c r="O17" s="2">
        <v>0.315</v>
      </c>
      <c r="P17" s="2">
        <v>681</v>
      </c>
      <c r="Q17" s="2">
        <v>1283</v>
      </c>
      <c r="R17" s="2">
        <v>0.53100000000000003</v>
      </c>
      <c r="S17" s="2">
        <v>0.51800000000000002</v>
      </c>
      <c r="T17" s="2">
        <v>549</v>
      </c>
      <c r="U17" s="2">
        <v>771</v>
      </c>
      <c r="V17" s="2">
        <v>0.71199999999999997</v>
      </c>
      <c r="W17" s="2">
        <v>133</v>
      </c>
      <c r="X17" s="2">
        <v>459</v>
      </c>
      <c r="Y17" s="2">
        <v>592</v>
      </c>
      <c r="Z17" s="2">
        <v>539</v>
      </c>
      <c r="AA17" s="2">
        <v>138</v>
      </c>
      <c r="AB17" s="2">
        <v>81</v>
      </c>
      <c r="AC17" s="2">
        <v>255</v>
      </c>
      <c r="AD17" s="2">
        <v>165</v>
      </c>
      <c r="AE17" s="2">
        <v>2250</v>
      </c>
      <c r="AF17" s="2">
        <v>245811</v>
      </c>
      <c r="AG17" s="2">
        <v>11651</v>
      </c>
      <c r="AH17" s="2">
        <v>53506</v>
      </c>
      <c r="AI17" s="2">
        <v>17897</v>
      </c>
      <c r="AJ17" s="2">
        <v>103271</v>
      </c>
      <c r="AK17" s="7">
        <f t="shared" si="0"/>
        <v>9.1533739336319368E-3</v>
      </c>
      <c r="AL17" s="7">
        <f t="shared" si="1"/>
        <v>6.9521929448116042E-3</v>
      </c>
      <c r="AM17" s="7">
        <f t="shared" si="2"/>
        <v>1.0073636601502635E-2</v>
      </c>
      <c r="AN17" s="7">
        <f t="shared" si="3"/>
        <v>7.710789517796279E-3</v>
      </c>
      <c r="AO17" s="7">
        <f t="shared" si="4"/>
        <v>5.081108917689469E-2</v>
      </c>
    </row>
    <row r="18" spans="1:41" x14ac:dyDescent="0.25">
      <c r="A18" t="s">
        <v>65</v>
      </c>
      <c r="B18" s="1" t="s">
        <v>39</v>
      </c>
      <c r="C18" s="2">
        <v>24</v>
      </c>
      <c r="D18" s="2" t="s">
        <v>31</v>
      </c>
      <c r="E18" s="2" t="s">
        <v>32</v>
      </c>
      <c r="F18" s="2" t="s">
        <v>35</v>
      </c>
      <c r="G18" s="2">
        <v>81</v>
      </c>
      <c r="H18" s="2">
        <v>81</v>
      </c>
      <c r="I18" s="2">
        <v>3054</v>
      </c>
      <c r="J18" s="2">
        <v>789</v>
      </c>
      <c r="K18" s="2">
        <v>1613</v>
      </c>
      <c r="L18" s="2">
        <v>0.48899999999999999</v>
      </c>
      <c r="M18" s="2">
        <v>132</v>
      </c>
      <c r="N18" s="2">
        <v>384</v>
      </c>
      <c r="O18" s="2">
        <v>0.34399999999999997</v>
      </c>
      <c r="P18" s="2">
        <v>657</v>
      </c>
      <c r="Q18" s="2">
        <v>1229</v>
      </c>
      <c r="R18" s="2">
        <v>0.53500000000000003</v>
      </c>
      <c r="S18" s="2">
        <v>0.53</v>
      </c>
      <c r="T18" s="2">
        <v>594</v>
      </c>
      <c r="U18" s="2">
        <v>762</v>
      </c>
      <c r="V18" s="2">
        <v>0.78</v>
      </c>
      <c r="W18" s="2">
        <v>106</v>
      </c>
      <c r="X18" s="2">
        <v>507</v>
      </c>
      <c r="Y18" s="2">
        <v>613</v>
      </c>
      <c r="Z18" s="2">
        <v>587</v>
      </c>
      <c r="AA18" s="2">
        <v>137</v>
      </c>
      <c r="AB18" s="2">
        <v>93</v>
      </c>
      <c r="AC18" s="2">
        <v>241</v>
      </c>
      <c r="AD18" s="2">
        <v>139</v>
      </c>
      <c r="AE18" s="2">
        <v>2304</v>
      </c>
      <c r="AF18" s="2">
        <v>245879</v>
      </c>
      <c r="AG18" s="2">
        <v>11817</v>
      </c>
      <c r="AH18" s="2">
        <v>51605</v>
      </c>
      <c r="AI18" s="2">
        <v>17883</v>
      </c>
      <c r="AJ18" s="2">
        <v>101586</v>
      </c>
      <c r="AK18" s="7">
        <f t="shared" si="0"/>
        <v>9.3704627072665816E-3</v>
      </c>
      <c r="AL18" s="7">
        <f t="shared" si="1"/>
        <v>7.8700177710078704E-3</v>
      </c>
      <c r="AM18" s="7">
        <f t="shared" si="2"/>
        <v>1.1374866776475147E-2</v>
      </c>
      <c r="AN18" s="7">
        <f t="shared" si="3"/>
        <v>7.6609070066543643E-3</v>
      </c>
      <c r="AO18" s="7">
        <f t="shared" si="4"/>
        <v>5.1874418211051876E-2</v>
      </c>
    </row>
    <row r="19" spans="1:41" x14ac:dyDescent="0.25">
      <c r="A19" t="s">
        <v>65</v>
      </c>
      <c r="B19" s="1" t="s">
        <v>40</v>
      </c>
      <c r="C19" s="2">
        <v>25</v>
      </c>
      <c r="D19" s="2" t="s">
        <v>31</v>
      </c>
      <c r="E19" s="2" t="s">
        <v>32</v>
      </c>
      <c r="F19" s="2" t="s">
        <v>35</v>
      </c>
      <c r="G19" s="2">
        <v>76</v>
      </c>
      <c r="H19" s="2">
        <v>76</v>
      </c>
      <c r="I19" s="2">
        <v>2966</v>
      </c>
      <c r="J19" s="2">
        <v>768</v>
      </c>
      <c r="K19" s="2">
        <v>1528</v>
      </c>
      <c r="L19" s="2">
        <v>0.503</v>
      </c>
      <c r="M19" s="2">
        <v>129</v>
      </c>
      <c r="N19" s="2">
        <v>387</v>
      </c>
      <c r="O19" s="2">
        <v>0.33300000000000002</v>
      </c>
      <c r="P19" s="2">
        <v>639</v>
      </c>
      <c r="Q19" s="2">
        <v>1141</v>
      </c>
      <c r="R19" s="2">
        <v>0.56000000000000005</v>
      </c>
      <c r="S19" s="2">
        <v>0.54500000000000004</v>
      </c>
      <c r="T19" s="2">
        <v>593</v>
      </c>
      <c r="U19" s="2">
        <v>773</v>
      </c>
      <c r="V19" s="2">
        <v>0.76700000000000002</v>
      </c>
      <c r="W19" s="2">
        <v>71</v>
      </c>
      <c r="X19" s="2">
        <v>483</v>
      </c>
      <c r="Y19" s="2">
        <v>554</v>
      </c>
      <c r="Z19" s="2">
        <v>651</v>
      </c>
      <c r="AA19" s="2">
        <v>125</v>
      </c>
      <c r="AB19" s="2">
        <v>77</v>
      </c>
      <c r="AC19" s="2">
        <v>261</v>
      </c>
      <c r="AD19" s="2">
        <v>119</v>
      </c>
      <c r="AE19" s="2">
        <v>2258</v>
      </c>
      <c r="AF19" s="2">
        <v>247100</v>
      </c>
      <c r="AG19" s="2">
        <v>11947</v>
      </c>
      <c r="AH19" s="2">
        <v>52258</v>
      </c>
      <c r="AI19" s="2">
        <v>17759</v>
      </c>
      <c r="AJ19" s="2">
        <v>102640</v>
      </c>
      <c r="AK19" s="7">
        <f t="shared" si="0"/>
        <v>9.1380008093889121E-3</v>
      </c>
      <c r="AL19" s="7">
        <f t="shared" si="1"/>
        <v>6.445132669289361E-3</v>
      </c>
      <c r="AM19" s="7">
        <f t="shared" si="2"/>
        <v>1.2457422786941712E-2</v>
      </c>
      <c r="AN19" s="7">
        <f t="shared" si="3"/>
        <v>7.0386846106199677E-3</v>
      </c>
      <c r="AO19" s="7">
        <f t="shared" si="4"/>
        <v>4.6371474010211772E-2</v>
      </c>
    </row>
    <row r="20" spans="1:41" x14ac:dyDescent="0.25">
      <c r="A20" t="s">
        <v>65</v>
      </c>
      <c r="B20" s="1" t="s">
        <v>41</v>
      </c>
      <c r="C20" s="2">
        <v>26</v>
      </c>
      <c r="D20" s="2" t="s">
        <v>42</v>
      </c>
      <c r="E20" s="2" t="s">
        <v>32</v>
      </c>
      <c r="F20" s="2" t="s">
        <v>35</v>
      </c>
      <c r="G20" s="2">
        <v>79</v>
      </c>
      <c r="H20" s="2">
        <v>79</v>
      </c>
      <c r="I20" s="2">
        <v>3063</v>
      </c>
      <c r="J20" s="2">
        <v>758</v>
      </c>
      <c r="K20" s="2">
        <v>1485</v>
      </c>
      <c r="L20" s="2">
        <v>0.51</v>
      </c>
      <c r="M20" s="2">
        <v>92</v>
      </c>
      <c r="N20" s="2">
        <v>279</v>
      </c>
      <c r="O20" s="2">
        <v>0.33</v>
      </c>
      <c r="P20" s="2">
        <v>666</v>
      </c>
      <c r="Q20" s="2">
        <v>1206</v>
      </c>
      <c r="R20" s="2">
        <v>0.55200000000000005</v>
      </c>
      <c r="S20" s="2">
        <v>0.54100000000000004</v>
      </c>
      <c r="T20" s="2">
        <v>503</v>
      </c>
      <c r="U20" s="2">
        <v>663</v>
      </c>
      <c r="V20" s="2">
        <v>0.75900000000000001</v>
      </c>
      <c r="W20" s="2">
        <v>80</v>
      </c>
      <c r="X20" s="2">
        <v>510</v>
      </c>
      <c r="Y20" s="2">
        <v>590</v>
      </c>
      <c r="Z20" s="2">
        <v>554</v>
      </c>
      <c r="AA20" s="2">
        <v>124</v>
      </c>
      <c r="AB20" s="2">
        <v>50</v>
      </c>
      <c r="AC20" s="2">
        <v>284</v>
      </c>
      <c r="AD20" s="2">
        <v>163</v>
      </c>
      <c r="AE20" s="2">
        <v>2111</v>
      </c>
      <c r="AF20" s="2">
        <v>244894</v>
      </c>
      <c r="AG20" s="2">
        <v>11966</v>
      </c>
      <c r="AH20" s="2">
        <v>52887</v>
      </c>
      <c r="AI20" s="2">
        <v>18023</v>
      </c>
      <c r="AJ20" s="2">
        <v>101816</v>
      </c>
      <c r="AK20" s="7">
        <f t="shared" si="0"/>
        <v>8.6200560242390579E-3</v>
      </c>
      <c r="AL20" s="7">
        <f t="shared" si="1"/>
        <v>4.1785057663379574E-3</v>
      </c>
      <c r="AM20" s="7">
        <f t="shared" si="2"/>
        <v>1.0475164028967421E-2</v>
      </c>
      <c r="AN20" s="7">
        <f t="shared" si="3"/>
        <v>6.8800976529989457E-3</v>
      </c>
      <c r="AO20" s="7">
        <f t="shared" si="4"/>
        <v>4.9306368042787901E-2</v>
      </c>
    </row>
    <row r="21" spans="1:41" x14ac:dyDescent="0.25">
      <c r="A21" t="s">
        <v>65</v>
      </c>
      <c r="B21" s="1" t="s">
        <v>43</v>
      </c>
      <c r="C21" s="2">
        <v>27</v>
      </c>
      <c r="D21" s="2" t="s">
        <v>42</v>
      </c>
      <c r="E21" s="2" t="s">
        <v>32</v>
      </c>
      <c r="F21" s="2" t="s">
        <v>35</v>
      </c>
      <c r="G21" s="2">
        <v>62</v>
      </c>
      <c r="H21" s="2">
        <v>62</v>
      </c>
      <c r="I21" s="2">
        <v>2326</v>
      </c>
      <c r="J21" s="2">
        <v>621</v>
      </c>
      <c r="K21" s="2">
        <v>1169</v>
      </c>
      <c r="L21" s="2">
        <v>0.53100000000000003</v>
      </c>
      <c r="M21" s="2">
        <v>54</v>
      </c>
      <c r="N21" s="2">
        <v>149</v>
      </c>
      <c r="O21" s="2">
        <v>0.36199999999999999</v>
      </c>
      <c r="P21" s="2">
        <v>567</v>
      </c>
      <c r="Q21" s="2">
        <v>1020</v>
      </c>
      <c r="R21" s="2">
        <v>0.55600000000000005</v>
      </c>
      <c r="S21" s="2">
        <v>0.55400000000000005</v>
      </c>
      <c r="T21" s="2">
        <v>387</v>
      </c>
      <c r="U21" s="2">
        <v>502</v>
      </c>
      <c r="V21" s="2">
        <v>0.77100000000000002</v>
      </c>
      <c r="W21" s="2">
        <v>94</v>
      </c>
      <c r="X21" s="2">
        <v>398</v>
      </c>
      <c r="Y21" s="2">
        <v>492</v>
      </c>
      <c r="Z21" s="2">
        <v>387</v>
      </c>
      <c r="AA21" s="2">
        <v>115</v>
      </c>
      <c r="AB21" s="2">
        <v>50</v>
      </c>
      <c r="AC21" s="2">
        <v>213</v>
      </c>
      <c r="AD21" s="2">
        <v>96</v>
      </c>
      <c r="AE21" s="2">
        <v>1683</v>
      </c>
      <c r="AF21" s="2">
        <v>190594</v>
      </c>
      <c r="AG21" s="2">
        <v>10086</v>
      </c>
      <c r="AH21" s="2">
        <v>41533</v>
      </c>
      <c r="AI21" s="2">
        <v>15200</v>
      </c>
      <c r="AJ21" s="2">
        <v>83513</v>
      </c>
      <c r="AK21" s="7">
        <f t="shared" si="0"/>
        <v>8.8302884665834181E-3</v>
      </c>
      <c r="AL21" s="7">
        <f t="shared" si="1"/>
        <v>4.9573666468372005E-3</v>
      </c>
      <c r="AM21" s="7">
        <f t="shared" si="2"/>
        <v>9.3178917968844057E-3</v>
      </c>
      <c r="AN21" s="7">
        <f t="shared" si="3"/>
        <v>7.5657894736842106E-3</v>
      </c>
      <c r="AO21" s="7">
        <f t="shared" si="4"/>
        <v>4.878048780487805E-2</v>
      </c>
    </row>
    <row r="22" spans="1:41" x14ac:dyDescent="0.25">
      <c r="A22" t="s">
        <v>65</v>
      </c>
      <c r="B22" s="1" t="s">
        <v>44</v>
      </c>
      <c r="C22" s="2">
        <v>28</v>
      </c>
      <c r="D22" s="2" t="s">
        <v>42</v>
      </c>
      <c r="E22" s="2" t="s">
        <v>32</v>
      </c>
      <c r="F22" s="2" t="s">
        <v>28</v>
      </c>
      <c r="G22" s="2">
        <v>76</v>
      </c>
      <c r="H22" s="2">
        <v>76</v>
      </c>
      <c r="I22" s="2">
        <v>2877</v>
      </c>
      <c r="J22" s="2">
        <v>765</v>
      </c>
      <c r="K22" s="2">
        <v>1354</v>
      </c>
      <c r="L22" s="2">
        <v>0.56499999999999995</v>
      </c>
      <c r="M22" s="2">
        <v>103</v>
      </c>
      <c r="N22" s="2">
        <v>254</v>
      </c>
      <c r="O22" s="2">
        <v>0.40600000000000003</v>
      </c>
      <c r="P22" s="2">
        <v>662</v>
      </c>
      <c r="Q22" s="2">
        <v>1100</v>
      </c>
      <c r="R22" s="2">
        <v>0.60199999999999998</v>
      </c>
      <c r="S22" s="2">
        <v>0.60299999999999998</v>
      </c>
      <c r="T22" s="2">
        <v>403</v>
      </c>
      <c r="U22" s="2">
        <v>535</v>
      </c>
      <c r="V22" s="2">
        <v>0.753</v>
      </c>
      <c r="W22" s="2">
        <v>97</v>
      </c>
      <c r="X22" s="2">
        <v>513</v>
      </c>
      <c r="Y22" s="2">
        <v>610</v>
      </c>
      <c r="Z22" s="2">
        <v>551</v>
      </c>
      <c r="AA22" s="2">
        <v>129</v>
      </c>
      <c r="AB22" s="2">
        <v>67</v>
      </c>
      <c r="AC22" s="2">
        <v>226</v>
      </c>
      <c r="AD22" s="2">
        <v>110</v>
      </c>
      <c r="AE22" s="2">
        <v>2036</v>
      </c>
      <c r="AF22" s="2">
        <v>241223</v>
      </c>
      <c r="AG22" s="2">
        <v>12622</v>
      </c>
      <c r="AH22" s="2">
        <v>54415</v>
      </c>
      <c r="AI22" s="2">
        <v>19178</v>
      </c>
      <c r="AJ22" s="2">
        <v>103575</v>
      </c>
      <c r="AK22" s="7">
        <f t="shared" si="0"/>
        <v>8.4403228547858204E-3</v>
      </c>
      <c r="AL22" s="7">
        <f t="shared" si="1"/>
        <v>5.3081920456346061E-3</v>
      </c>
      <c r="AM22" s="7">
        <f t="shared" si="2"/>
        <v>1.0125884406873105E-2</v>
      </c>
      <c r="AN22" s="7">
        <f t="shared" si="3"/>
        <v>6.7264573991031393E-3</v>
      </c>
      <c r="AO22" s="7">
        <f t="shared" si="4"/>
        <v>4.8328315639359846E-2</v>
      </c>
    </row>
    <row r="23" spans="1:41" x14ac:dyDescent="0.25">
      <c r="A23" t="s">
        <v>65</v>
      </c>
      <c r="B23" s="1" t="s">
        <v>45</v>
      </c>
      <c r="C23" s="2">
        <v>29</v>
      </c>
      <c r="D23" s="2" t="s">
        <v>42</v>
      </c>
      <c r="E23" s="2" t="s">
        <v>32</v>
      </c>
      <c r="F23" s="2" t="s">
        <v>28</v>
      </c>
      <c r="G23" s="2">
        <v>77</v>
      </c>
      <c r="H23" s="2">
        <v>77</v>
      </c>
      <c r="I23" s="2">
        <v>2902</v>
      </c>
      <c r="J23" s="2">
        <v>767</v>
      </c>
      <c r="K23" s="2">
        <v>1353</v>
      </c>
      <c r="L23" s="2">
        <v>0.56699999999999995</v>
      </c>
      <c r="M23" s="2">
        <v>116</v>
      </c>
      <c r="N23" s="2">
        <v>306</v>
      </c>
      <c r="O23" s="2">
        <v>0.379</v>
      </c>
      <c r="P23" s="2">
        <v>651</v>
      </c>
      <c r="Q23" s="2">
        <v>1047</v>
      </c>
      <c r="R23" s="2">
        <v>0.622</v>
      </c>
      <c r="S23" s="2">
        <v>0.61</v>
      </c>
      <c r="T23" s="2">
        <v>439</v>
      </c>
      <c r="U23" s="2">
        <v>585</v>
      </c>
      <c r="V23" s="2">
        <v>0.75</v>
      </c>
      <c r="W23" s="2">
        <v>81</v>
      </c>
      <c r="X23" s="2">
        <v>452</v>
      </c>
      <c r="Y23" s="2">
        <v>533</v>
      </c>
      <c r="Z23" s="2">
        <v>488</v>
      </c>
      <c r="AA23" s="2">
        <v>121</v>
      </c>
      <c r="AB23" s="2">
        <v>26</v>
      </c>
      <c r="AC23" s="2">
        <v>270</v>
      </c>
      <c r="AD23" s="2">
        <v>126</v>
      </c>
      <c r="AE23" s="2">
        <v>2089</v>
      </c>
      <c r="AF23" s="2">
        <v>248482</v>
      </c>
      <c r="AG23" s="2">
        <v>11594</v>
      </c>
      <c r="AH23" s="2">
        <v>54131</v>
      </c>
      <c r="AI23" s="2">
        <v>18895</v>
      </c>
      <c r="AJ23" s="2">
        <v>105161</v>
      </c>
      <c r="AK23" s="7">
        <f t="shared" si="0"/>
        <v>8.4070475929846032E-3</v>
      </c>
      <c r="AL23" s="7">
        <f t="shared" si="1"/>
        <v>2.2425392444367777E-3</v>
      </c>
      <c r="AM23" s="7">
        <f t="shared" si="2"/>
        <v>9.0151669099037528E-3</v>
      </c>
      <c r="AN23" s="7">
        <f t="shared" si="3"/>
        <v>6.4038105318867423E-3</v>
      </c>
      <c r="AO23" s="7">
        <f t="shared" si="4"/>
        <v>4.5972054510953944E-2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225E-CC96-4B6C-BD54-91AE341457E5}">
  <dimension ref="A1:G3"/>
  <sheetViews>
    <sheetView workbookViewId="0">
      <selection activeCell="A6" sqref="A6"/>
    </sheetView>
  </sheetViews>
  <sheetFormatPr defaultRowHeight="15" x14ac:dyDescent="0.25"/>
  <cols>
    <col min="2" max="2" width="10.28515625" customWidth="1"/>
  </cols>
  <sheetData>
    <row r="1" spans="1:7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80</v>
      </c>
    </row>
    <row r="2" spans="1:7" x14ac:dyDescent="0.25">
      <c r="A2" t="s">
        <v>78</v>
      </c>
      <c r="B2" s="7">
        <v>1.153E-2</v>
      </c>
      <c r="C2" s="7">
        <v>8.4499999999999992E-3</v>
      </c>
      <c r="D2" s="7">
        <v>1.128E-2</v>
      </c>
      <c r="E2" s="7">
        <v>6.5500000000000003E-3</v>
      </c>
      <c r="F2" s="7">
        <v>4.58E-2</v>
      </c>
      <c r="G2" s="7">
        <v>1.6719999999999999E-2</v>
      </c>
    </row>
    <row r="3" spans="1:7" x14ac:dyDescent="0.25">
      <c r="A3" t="s">
        <v>79</v>
      </c>
      <c r="B3" s="7">
        <v>8.8800000000000007E-3</v>
      </c>
      <c r="C3" s="7">
        <v>1.021E-2</v>
      </c>
      <c r="D3" s="7">
        <v>7.3099999999999997E-3</v>
      </c>
      <c r="E3" s="7">
        <v>5.2399999999999999E-3</v>
      </c>
      <c r="F3" s="7">
        <v>4.7370000000000002E-2</v>
      </c>
      <c r="G3" s="7">
        <v>1.5800000000000002E-2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2E8B-0A80-4299-887A-8FBD304677CA}">
  <dimension ref="A1:C3"/>
  <sheetViews>
    <sheetView workbookViewId="0">
      <selection activeCell="C7" sqref="C7"/>
    </sheetView>
  </sheetViews>
  <sheetFormatPr defaultRowHeight="15" x14ac:dyDescent="0.25"/>
  <cols>
    <col min="1" max="2" width="14.42578125" bestFit="1" customWidth="1"/>
    <col min="3" max="4" width="48.5703125" bestFit="1" customWidth="1"/>
    <col min="5" max="5" width="38.5703125" customWidth="1"/>
    <col min="6" max="6" width="27.85546875" bestFit="1" customWidth="1"/>
  </cols>
  <sheetData>
    <row r="1" spans="1:3" s="5" customFormat="1" x14ac:dyDescent="0.25">
      <c r="A1" s="5" t="s">
        <v>81</v>
      </c>
      <c r="B1" s="5" t="s">
        <v>82</v>
      </c>
      <c r="C1" s="5" t="s">
        <v>83</v>
      </c>
    </row>
    <row r="2" spans="1:3" x14ac:dyDescent="0.25">
      <c r="A2" t="s">
        <v>71</v>
      </c>
      <c r="B2">
        <v>2767.56</v>
      </c>
      <c r="C2">
        <v>8.4</v>
      </c>
    </row>
    <row r="3" spans="1:3" x14ac:dyDescent="0.25">
      <c r="A3" t="s">
        <v>79</v>
      </c>
      <c r="B3">
        <v>3095.88</v>
      </c>
      <c r="C3">
        <v>24.5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8CF6-C630-485F-BE11-80CEE6BDD816}">
  <dimension ref="A1:D3"/>
  <sheetViews>
    <sheetView workbookViewId="0">
      <selection activeCell="H8" sqref="H8"/>
    </sheetView>
  </sheetViews>
  <sheetFormatPr defaultRowHeight="15" x14ac:dyDescent="0.25"/>
  <cols>
    <col min="2" max="2" width="23.42578125" bestFit="1" customWidth="1"/>
    <col min="3" max="3" width="17.7109375" bestFit="1" customWidth="1"/>
    <col min="4" max="4" width="21.42578125" bestFit="1" customWidth="1"/>
  </cols>
  <sheetData>
    <row r="1" spans="1:4" x14ac:dyDescent="0.25">
      <c r="A1" s="5" t="s">
        <v>72</v>
      </c>
      <c r="B1" s="5" t="s">
        <v>84</v>
      </c>
      <c r="C1" s="5" t="s">
        <v>85</v>
      </c>
      <c r="D1" s="5" t="s">
        <v>86</v>
      </c>
    </row>
    <row r="2" spans="1:4" x14ac:dyDescent="0.25">
      <c r="A2" t="s">
        <v>78</v>
      </c>
      <c r="B2" t="s">
        <v>88</v>
      </c>
      <c r="C2" t="s">
        <v>90</v>
      </c>
      <c r="D2" s="9">
        <v>0.44</v>
      </c>
    </row>
    <row r="3" spans="1:4" x14ac:dyDescent="0.25">
      <c r="A3" t="s">
        <v>87</v>
      </c>
      <c r="B3" t="s">
        <v>89</v>
      </c>
      <c r="C3" t="s">
        <v>91</v>
      </c>
      <c r="D3" s="9">
        <v>0.25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9D79-1179-49E9-893F-5AE0D35D1CD2}">
  <dimension ref="A1:F5"/>
  <sheetViews>
    <sheetView tabSelected="1" workbookViewId="0">
      <selection activeCell="I8" sqref="I8"/>
    </sheetView>
  </sheetViews>
  <sheetFormatPr defaultRowHeight="15" x14ac:dyDescent="0.25"/>
  <cols>
    <col min="1" max="1" width="20.28515625" customWidth="1"/>
    <col min="2" max="2" width="10.28515625" bestFit="1" customWidth="1"/>
    <col min="3" max="3" width="15" bestFit="1" customWidth="1"/>
    <col min="4" max="4" width="12" bestFit="1" customWidth="1"/>
    <col min="5" max="5" width="22" bestFit="1" customWidth="1"/>
    <col min="6" max="6" width="27" bestFit="1" customWidth="1"/>
  </cols>
  <sheetData>
    <row r="1" spans="1:6" x14ac:dyDescent="0.25">
      <c r="A1" s="5" t="s">
        <v>99</v>
      </c>
      <c r="B1" s="5" t="s">
        <v>95</v>
      </c>
      <c r="C1" s="5" t="s">
        <v>97</v>
      </c>
      <c r="D1" s="5" t="s">
        <v>98</v>
      </c>
      <c r="E1" s="5" t="s">
        <v>100</v>
      </c>
      <c r="F1" s="5" t="s">
        <v>101</v>
      </c>
    </row>
    <row r="2" spans="1:6" x14ac:dyDescent="0.25">
      <c r="A2" s="10" t="s">
        <v>96</v>
      </c>
      <c r="B2">
        <v>165000000</v>
      </c>
      <c r="C2">
        <v>2750000000</v>
      </c>
      <c r="D2">
        <v>5500000000</v>
      </c>
      <c r="E2" s="9">
        <f>(C2-B2)/B2</f>
        <v>15.666666666666666</v>
      </c>
      <c r="F2" s="8">
        <f>(D2-C2)/C2</f>
        <v>1</v>
      </c>
    </row>
    <row r="3" spans="1:6" x14ac:dyDescent="0.25">
      <c r="A3" s="10" t="s">
        <v>92</v>
      </c>
      <c r="B3">
        <v>12100000</v>
      </c>
      <c r="C3">
        <v>29000000</v>
      </c>
      <c r="D3">
        <v>11300000</v>
      </c>
      <c r="E3" s="9">
        <f t="shared" ref="E3:E5" si="0">(C3-B3)/B3</f>
        <v>1.3966942148760331</v>
      </c>
      <c r="F3" s="8">
        <f t="shared" ref="F3:F5" si="1">(D3-C3)/C3</f>
        <v>-0.6103448275862069</v>
      </c>
    </row>
    <row r="4" spans="1:6" x14ac:dyDescent="0.25">
      <c r="A4" s="10" t="s">
        <v>93</v>
      </c>
      <c r="B4">
        <v>15000000</v>
      </c>
      <c r="C4">
        <v>20000000</v>
      </c>
      <c r="D4">
        <v>21300000</v>
      </c>
      <c r="E4" s="9">
        <f t="shared" si="0"/>
        <v>0.33333333333333331</v>
      </c>
      <c r="F4" s="8">
        <f t="shared" si="1"/>
        <v>6.5000000000000002E-2</v>
      </c>
    </row>
    <row r="5" spans="1:6" x14ac:dyDescent="0.25">
      <c r="A5" s="10" t="s">
        <v>94</v>
      </c>
      <c r="B5">
        <v>44000000</v>
      </c>
      <c r="C5">
        <v>2000000000</v>
      </c>
      <c r="D5">
        <v>10000000000</v>
      </c>
      <c r="E5" s="9">
        <f t="shared" si="0"/>
        <v>44.454545454545453</v>
      </c>
      <c r="F5" s="8">
        <f t="shared" si="1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Michael Jordan</vt:lpstr>
      <vt:lpstr>Lebron James</vt:lpstr>
      <vt:lpstr>Combined player data</vt:lpstr>
      <vt:lpstr>Career Avg</vt:lpstr>
      <vt:lpstr>League Rule Changes</vt:lpstr>
      <vt:lpstr>Space Jam </vt:lpstr>
      <vt:lpstr>League 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2026-02-25T03:32:52Z</dcterms:created>
  <dcterms:modified xsi:type="dcterms:W3CDTF">2026-03-04T03:43:44Z</dcterms:modified>
</cp:coreProperties>
</file>